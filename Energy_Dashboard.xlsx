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ndings" sheetId="2" state="visible" r:id="rId2"/>
    <sheet name="Monthly" sheetId="3" state="visible" r:id="rId3"/>
    <sheet name="Hourly" sheetId="4" state="visible" r:id="rId4"/>
    <sheet name="Yearly" sheetId="5" state="visible" r:id="rId5"/>
    <sheet name="Seasonal" sheetId="6" state="visible" r:id="rId6"/>
    <sheet name="Weather" sheetId="7" state="visible" r:id="rId7"/>
    <sheet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"/>
    <numFmt numFmtId="166" formatCode="0.0&quot;%&quot;"/>
    <numFmt numFmtId="167" formatCode="0.0"/>
    <numFmt numFmtId="168" formatCode="+0.0%;-0.0%"/>
    <numFmt numFmtId="169" formatCode="0&quot;:00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color rgb="001F4E79"/>
      <sz val="18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0000FF"/>
      <sz val="12"/>
    </font>
    <font>
      <name val="Arial"/>
      <color rgb="00595959"/>
      <sz val="10"/>
    </font>
    <font>
      <name val="Arial"/>
      <b val="1"/>
      <color rgb="007F7F7F"/>
      <sz val="9"/>
    </font>
    <font>
      <name val="Arial"/>
      <color rgb="00595959"/>
      <sz val="9"/>
    </font>
    <font>
      <name val="Arial"/>
      <i val="1"/>
      <color rgb="007F7F7F"/>
      <sz val="8"/>
    </font>
    <font>
      <name val="Arial"/>
      <b val="1"/>
      <color rgb="001F4E79"/>
      <sz val="16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8" fillId="0" borderId="0" pivotButton="0" quotePrefix="0" xfId="0"/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3" fontId="4" fillId="4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169" fontId="4" fillId="4" borderId="0" applyAlignment="1" pivotButton="0" quotePrefix="0" xfId="0">
      <alignment horizontal="center"/>
    </xf>
    <xf numFmtId="0" fontId="11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consumption (kWh)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'Dashboard'!C46</f>
            </strRef>
          </tx>
          <spPr>
            <a:ln w="2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'Dashboard'!$B$47:$B$82</f>
            </numRef>
          </cat>
          <val>
            <numRef>
              <f>'Dashboard'!$C$47:$C$82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load by hour of day (kWh)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'Dashboard'!F46</f>
            </strRef>
          </tx>
          <spPr>
            <a:ln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'Dashboard'!$E$47:$E$70</f>
            </numRef>
          </cat>
          <val>
            <numRef>
              <f>'Dashboard'!$F$47:$F$70</f>
            </numRef>
          </val>
          <smooth val="0"/>
        </ser>
        <ser>
          <idx val="1"/>
          <order val="1"/>
          <tx>
            <strRef>
              <f>'Dashboard'!G46</f>
            </strRef>
          </tx>
          <spPr>
            <a:ln>
              <a:solidFill>
                <a:srgbClr val="C0504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'Dashboard'!$E$47:$E$70</f>
            </numRef>
          </cat>
          <val>
            <numRef>
              <f>'Dashboard'!$G$47:$G$70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consumption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'Dashboard'!K46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'Dashboard'!$J$47:$J$49</f>
            </numRef>
          </cat>
          <val>
            <numRef>
              <f>'Dashboard'!$K$47:$K$49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daily kWh by season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'Dashboard'!N46</f>
            </strRef>
          </tx>
          <spPr>
            <a:solidFill>
              <a:srgbClr val="C0504D"/>
            </a:solidFill>
            <a:ln>
              <a:prstDash val="solid"/>
            </a:ln>
          </spPr>
          <cat>
            <numRef>
              <f>'Dashboard'!$M$47:$M$50</f>
            </numRef>
          </cat>
          <val>
            <numRef>
              <f>'Dashboard'!$N$47:$N$50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8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24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24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N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</cols>
  <sheetData>
    <row r="1">
      <c r="B1" s="1" t="inlineStr">
        <is>
          <t>Household Electricity Consumption Dashboard</t>
        </is>
      </c>
    </row>
    <row r="2">
      <c r="B2" s="2" t="inlineStr">
        <is>
          <t>Hourly smart-meter readings, Jan 2023 - Dec 2025. Choose a household in the yellow cell; everything below updates.</t>
        </is>
      </c>
    </row>
    <row r="4">
      <c r="B4" s="3" t="inlineStr">
        <is>
          <t>Household:</t>
        </is>
      </c>
      <c r="C4" s="4" t="inlineStr">
        <is>
          <t>H001</t>
        </is>
      </c>
      <c r="D4" s="5">
        <f>IF(C4="H001","Detached, 4 occupants (EV from Jul 2024)",IF(C4="H002","Condo, 1 occupant",IF(C4="H003","Townhouse, 3 occupants","")))</f>
        <v/>
      </c>
    </row>
    <row r="6">
      <c r="B6" s="6" t="inlineStr">
        <is>
          <t>Total kWh (3 yrs)</t>
        </is>
      </c>
      <c r="C6" s="7" t="n"/>
      <c r="D6" s="6" t="inlineStr">
        <is>
          <t>Avg kWh / month</t>
        </is>
      </c>
      <c r="E6" s="7" t="n"/>
      <c r="F6" s="6" t="inlineStr">
        <is>
          <t>Peak month kWh</t>
        </is>
      </c>
      <c r="G6" s="7" t="n"/>
      <c r="H6" s="6" t="inlineStr">
        <is>
          <t>2025 vs 2023</t>
        </is>
      </c>
      <c r="I6" s="7" t="n"/>
      <c r="J6" s="6" t="inlineStr">
        <is>
          <t>Weekday peak hour</t>
        </is>
      </c>
    </row>
    <row r="7" ht="30" customHeight="1">
      <c r="B7" s="8">
        <f>SUM(C47:C82)</f>
        <v/>
      </c>
      <c r="C7" s="7" t="n"/>
      <c r="D7" s="8">
        <f>AVERAGE(C47:C82)</f>
        <v/>
      </c>
      <c r="E7" s="7" t="n"/>
      <c r="F7" s="8">
        <f>MAX(C47:C82)</f>
        <v/>
      </c>
      <c r="G7" s="7" t="n"/>
      <c r="H7" s="9">
        <f>K49/K47-1</f>
        <v/>
      </c>
      <c r="I7" s="7" t="n"/>
      <c r="J7" s="10">
        <f>INDEX(E47:E70,MATCH(MAX(F47:F70),F47:F70,0))</f>
        <v/>
      </c>
    </row>
    <row r="42">
      <c r="B42" s="11" t="inlineStr">
        <is>
          <t>Source: SQLite energy.db (readings_clean) via Python/Pandas. Data is synthetic, built to mimic smart-meter behaviour.</t>
        </is>
      </c>
    </row>
    <row r="45">
      <c r="B45" s="12" t="inlineStr">
        <is>
          <t>Chart data (feeds the charts above - formulas, do not overwrite)</t>
        </is>
      </c>
    </row>
    <row r="46">
      <c r="B46" s="13" t="inlineStr">
        <is>
          <t>Month</t>
        </is>
      </c>
      <c r="C46" s="13" t="inlineStr">
        <is>
          <t>kWh</t>
        </is>
      </c>
      <c r="E46" s="13" t="inlineStr">
        <is>
          <t>Hour</t>
        </is>
      </c>
      <c r="F46" s="13" t="inlineStr">
        <is>
          <t>Weekday</t>
        </is>
      </c>
      <c r="G46" s="13" t="inlineStr">
        <is>
          <t>Weekend</t>
        </is>
      </c>
      <c r="J46" s="13" t="inlineStr">
        <is>
          <t>Year</t>
        </is>
      </c>
      <c r="K46" s="13" t="inlineStr">
        <is>
          <t>Annual kWh</t>
        </is>
      </c>
      <c r="M46" s="13" t="inlineStr">
        <is>
          <t>Season</t>
        </is>
      </c>
      <c r="N46" s="13" t="inlineStr">
        <is>
          <t>Avg kWh/day</t>
        </is>
      </c>
    </row>
    <row r="47">
      <c r="B47" s="14" t="inlineStr">
        <is>
          <t>2023-01</t>
        </is>
      </c>
      <c r="C47" s="15">
        <f>SUMIFS(Monthly!$D:$D,Monthly!$A:$A,$C$4,Monthly!$C:$C,B47)</f>
        <v/>
      </c>
      <c r="E47" s="14" t="n">
        <v>0</v>
      </c>
      <c r="F47" s="16">
        <f>SUMIFS(Hourly!$D:$D,Hourly!$A:$A,$C$4,Hourly!$B:$B,"Weekday",Hourly!$C:$C,$E47)</f>
        <v/>
      </c>
      <c r="G47" s="16">
        <f>SUMIFS(Hourly!$D:$D,Hourly!$A:$A,$C$4,Hourly!$B:$B,"Weekend",Hourly!$C:$C,$E47)</f>
        <v/>
      </c>
      <c r="J47" s="14" t="inlineStr">
        <is>
          <t>2023</t>
        </is>
      </c>
      <c r="K47" s="15">
        <f>SUMIFS(Yearly!$C:$C,Yearly!$A:$A,$C$4,Yearly!$B:$B,2023)</f>
        <v/>
      </c>
      <c r="M47" s="14" t="inlineStr">
        <is>
          <t>Winter</t>
        </is>
      </c>
      <c r="N47" s="17">
        <f>SUMIFS(Seasonal!$C:$C,Seasonal!$A:$A,$C$4,Seasonal!$B:$B,"1 Winter")</f>
        <v/>
      </c>
    </row>
    <row r="48">
      <c r="B48" s="14" t="inlineStr">
        <is>
          <t>2023-02</t>
        </is>
      </c>
      <c r="C48" s="15">
        <f>SUMIFS(Monthly!$D:$D,Monthly!$A:$A,$C$4,Monthly!$C:$C,B48)</f>
        <v/>
      </c>
      <c r="E48" s="14" t="n">
        <v>1</v>
      </c>
      <c r="F48" s="16">
        <f>SUMIFS(Hourly!$D:$D,Hourly!$A:$A,$C$4,Hourly!$B:$B,"Weekday",Hourly!$C:$C,$E48)</f>
        <v/>
      </c>
      <c r="G48" s="16">
        <f>SUMIFS(Hourly!$D:$D,Hourly!$A:$A,$C$4,Hourly!$B:$B,"Weekend",Hourly!$C:$C,$E48)</f>
        <v/>
      </c>
      <c r="J48" s="14" t="inlineStr">
        <is>
          <t>2024</t>
        </is>
      </c>
      <c r="K48" s="15">
        <f>SUMIFS(Yearly!$C:$C,Yearly!$A:$A,$C$4,Yearly!$B:$B,2024)</f>
        <v/>
      </c>
      <c r="M48" s="14" t="inlineStr">
        <is>
          <t>Spring</t>
        </is>
      </c>
      <c r="N48" s="17">
        <f>SUMIFS(Seasonal!$C:$C,Seasonal!$A:$A,$C$4,Seasonal!$B:$B,"2 Spring")</f>
        <v/>
      </c>
    </row>
    <row r="49">
      <c r="B49" s="14" t="inlineStr">
        <is>
          <t>2023-03</t>
        </is>
      </c>
      <c r="C49" s="15">
        <f>SUMIFS(Monthly!$D:$D,Monthly!$A:$A,$C$4,Monthly!$C:$C,B49)</f>
        <v/>
      </c>
      <c r="E49" s="14" t="n">
        <v>2</v>
      </c>
      <c r="F49" s="16">
        <f>SUMIFS(Hourly!$D:$D,Hourly!$A:$A,$C$4,Hourly!$B:$B,"Weekday",Hourly!$C:$C,$E49)</f>
        <v/>
      </c>
      <c r="G49" s="16">
        <f>SUMIFS(Hourly!$D:$D,Hourly!$A:$A,$C$4,Hourly!$B:$B,"Weekend",Hourly!$C:$C,$E49)</f>
        <v/>
      </c>
      <c r="J49" s="14" t="inlineStr">
        <is>
          <t>2025</t>
        </is>
      </c>
      <c r="K49" s="15">
        <f>SUMIFS(Yearly!$C:$C,Yearly!$A:$A,$C$4,Yearly!$B:$B,2025)</f>
        <v/>
      </c>
      <c r="M49" s="14" t="inlineStr">
        <is>
          <t>Summer</t>
        </is>
      </c>
      <c r="N49" s="17">
        <f>SUMIFS(Seasonal!$C:$C,Seasonal!$A:$A,$C$4,Seasonal!$B:$B,"3 Summer")</f>
        <v/>
      </c>
    </row>
    <row r="50">
      <c r="B50" s="14" t="inlineStr">
        <is>
          <t>2023-04</t>
        </is>
      </c>
      <c r="C50" s="15">
        <f>SUMIFS(Monthly!$D:$D,Monthly!$A:$A,$C$4,Monthly!$C:$C,B50)</f>
        <v/>
      </c>
      <c r="E50" s="14" t="n">
        <v>3</v>
      </c>
      <c r="F50" s="16">
        <f>SUMIFS(Hourly!$D:$D,Hourly!$A:$A,$C$4,Hourly!$B:$B,"Weekday",Hourly!$C:$C,$E50)</f>
        <v/>
      </c>
      <c r="G50" s="16">
        <f>SUMIFS(Hourly!$D:$D,Hourly!$A:$A,$C$4,Hourly!$B:$B,"Weekend",Hourly!$C:$C,$E50)</f>
        <v/>
      </c>
      <c r="M50" s="14" t="inlineStr">
        <is>
          <t>Fall</t>
        </is>
      </c>
      <c r="N50" s="17">
        <f>SUMIFS(Seasonal!$C:$C,Seasonal!$A:$A,$C$4,Seasonal!$B:$B,"4 Fall")</f>
        <v/>
      </c>
    </row>
    <row r="51">
      <c r="B51" s="14" t="inlineStr">
        <is>
          <t>2023-05</t>
        </is>
      </c>
      <c r="C51" s="15">
        <f>SUMIFS(Monthly!$D:$D,Monthly!$A:$A,$C$4,Monthly!$C:$C,B51)</f>
        <v/>
      </c>
      <c r="E51" s="14" t="n">
        <v>4</v>
      </c>
      <c r="F51" s="16">
        <f>SUMIFS(Hourly!$D:$D,Hourly!$A:$A,$C$4,Hourly!$B:$B,"Weekday",Hourly!$C:$C,$E51)</f>
        <v/>
      </c>
      <c r="G51" s="16">
        <f>SUMIFS(Hourly!$D:$D,Hourly!$A:$A,$C$4,Hourly!$B:$B,"Weekend",Hourly!$C:$C,$E51)</f>
        <v/>
      </c>
    </row>
    <row r="52">
      <c r="B52" s="14" t="inlineStr">
        <is>
          <t>2023-06</t>
        </is>
      </c>
      <c r="C52" s="15">
        <f>SUMIFS(Monthly!$D:$D,Monthly!$A:$A,$C$4,Monthly!$C:$C,B52)</f>
        <v/>
      </c>
      <c r="E52" s="14" t="n">
        <v>5</v>
      </c>
      <c r="F52" s="16">
        <f>SUMIFS(Hourly!$D:$D,Hourly!$A:$A,$C$4,Hourly!$B:$B,"Weekday",Hourly!$C:$C,$E52)</f>
        <v/>
      </c>
      <c r="G52" s="16">
        <f>SUMIFS(Hourly!$D:$D,Hourly!$A:$A,$C$4,Hourly!$B:$B,"Weekend",Hourly!$C:$C,$E52)</f>
        <v/>
      </c>
    </row>
    <row r="53">
      <c r="B53" s="14" t="inlineStr">
        <is>
          <t>2023-07</t>
        </is>
      </c>
      <c r="C53" s="15">
        <f>SUMIFS(Monthly!$D:$D,Monthly!$A:$A,$C$4,Monthly!$C:$C,B53)</f>
        <v/>
      </c>
      <c r="E53" s="14" t="n">
        <v>6</v>
      </c>
      <c r="F53" s="16">
        <f>SUMIFS(Hourly!$D:$D,Hourly!$A:$A,$C$4,Hourly!$B:$B,"Weekday",Hourly!$C:$C,$E53)</f>
        <v/>
      </c>
      <c r="G53" s="16">
        <f>SUMIFS(Hourly!$D:$D,Hourly!$A:$A,$C$4,Hourly!$B:$B,"Weekend",Hourly!$C:$C,$E53)</f>
        <v/>
      </c>
    </row>
    <row r="54">
      <c r="B54" s="14" t="inlineStr">
        <is>
          <t>2023-08</t>
        </is>
      </c>
      <c r="C54" s="15">
        <f>SUMIFS(Monthly!$D:$D,Monthly!$A:$A,$C$4,Monthly!$C:$C,B54)</f>
        <v/>
      </c>
      <c r="E54" s="14" t="n">
        <v>7</v>
      </c>
      <c r="F54" s="16">
        <f>SUMIFS(Hourly!$D:$D,Hourly!$A:$A,$C$4,Hourly!$B:$B,"Weekday",Hourly!$C:$C,$E54)</f>
        <v/>
      </c>
      <c r="G54" s="16">
        <f>SUMIFS(Hourly!$D:$D,Hourly!$A:$A,$C$4,Hourly!$B:$B,"Weekend",Hourly!$C:$C,$E54)</f>
        <v/>
      </c>
    </row>
    <row r="55">
      <c r="B55" s="14" t="inlineStr">
        <is>
          <t>2023-09</t>
        </is>
      </c>
      <c r="C55" s="15">
        <f>SUMIFS(Monthly!$D:$D,Monthly!$A:$A,$C$4,Monthly!$C:$C,B55)</f>
        <v/>
      </c>
      <c r="E55" s="14" t="n">
        <v>8</v>
      </c>
      <c r="F55" s="16">
        <f>SUMIFS(Hourly!$D:$D,Hourly!$A:$A,$C$4,Hourly!$B:$B,"Weekday",Hourly!$C:$C,$E55)</f>
        <v/>
      </c>
      <c r="G55" s="16">
        <f>SUMIFS(Hourly!$D:$D,Hourly!$A:$A,$C$4,Hourly!$B:$B,"Weekend",Hourly!$C:$C,$E55)</f>
        <v/>
      </c>
    </row>
    <row r="56">
      <c r="B56" s="14" t="inlineStr">
        <is>
          <t>2023-10</t>
        </is>
      </c>
      <c r="C56" s="15">
        <f>SUMIFS(Monthly!$D:$D,Monthly!$A:$A,$C$4,Monthly!$C:$C,B56)</f>
        <v/>
      </c>
      <c r="E56" s="14" t="n">
        <v>9</v>
      </c>
      <c r="F56" s="16">
        <f>SUMIFS(Hourly!$D:$D,Hourly!$A:$A,$C$4,Hourly!$B:$B,"Weekday",Hourly!$C:$C,$E56)</f>
        <v/>
      </c>
      <c r="G56" s="16">
        <f>SUMIFS(Hourly!$D:$D,Hourly!$A:$A,$C$4,Hourly!$B:$B,"Weekend",Hourly!$C:$C,$E56)</f>
        <v/>
      </c>
    </row>
    <row r="57">
      <c r="B57" s="14" t="inlineStr">
        <is>
          <t>2023-11</t>
        </is>
      </c>
      <c r="C57" s="15">
        <f>SUMIFS(Monthly!$D:$D,Monthly!$A:$A,$C$4,Monthly!$C:$C,B57)</f>
        <v/>
      </c>
      <c r="E57" s="14" t="n">
        <v>10</v>
      </c>
      <c r="F57" s="16">
        <f>SUMIFS(Hourly!$D:$D,Hourly!$A:$A,$C$4,Hourly!$B:$B,"Weekday",Hourly!$C:$C,$E57)</f>
        <v/>
      </c>
      <c r="G57" s="16">
        <f>SUMIFS(Hourly!$D:$D,Hourly!$A:$A,$C$4,Hourly!$B:$B,"Weekend",Hourly!$C:$C,$E57)</f>
        <v/>
      </c>
    </row>
    <row r="58">
      <c r="B58" s="14" t="inlineStr">
        <is>
          <t>2023-12</t>
        </is>
      </c>
      <c r="C58" s="15">
        <f>SUMIFS(Monthly!$D:$D,Monthly!$A:$A,$C$4,Monthly!$C:$C,B58)</f>
        <v/>
      </c>
      <c r="E58" s="14" t="n">
        <v>11</v>
      </c>
      <c r="F58" s="16">
        <f>SUMIFS(Hourly!$D:$D,Hourly!$A:$A,$C$4,Hourly!$B:$B,"Weekday",Hourly!$C:$C,$E58)</f>
        <v/>
      </c>
      <c r="G58" s="16">
        <f>SUMIFS(Hourly!$D:$D,Hourly!$A:$A,$C$4,Hourly!$B:$B,"Weekend",Hourly!$C:$C,$E58)</f>
        <v/>
      </c>
    </row>
    <row r="59">
      <c r="B59" s="14" t="inlineStr">
        <is>
          <t>2024-01</t>
        </is>
      </c>
      <c r="C59" s="15">
        <f>SUMIFS(Monthly!$D:$D,Monthly!$A:$A,$C$4,Monthly!$C:$C,B59)</f>
        <v/>
      </c>
      <c r="E59" s="14" t="n">
        <v>12</v>
      </c>
      <c r="F59" s="16">
        <f>SUMIFS(Hourly!$D:$D,Hourly!$A:$A,$C$4,Hourly!$B:$B,"Weekday",Hourly!$C:$C,$E59)</f>
        <v/>
      </c>
      <c r="G59" s="16">
        <f>SUMIFS(Hourly!$D:$D,Hourly!$A:$A,$C$4,Hourly!$B:$B,"Weekend",Hourly!$C:$C,$E59)</f>
        <v/>
      </c>
    </row>
    <row r="60">
      <c r="B60" s="14" t="inlineStr">
        <is>
          <t>2024-02</t>
        </is>
      </c>
      <c r="C60" s="15">
        <f>SUMIFS(Monthly!$D:$D,Monthly!$A:$A,$C$4,Monthly!$C:$C,B60)</f>
        <v/>
      </c>
      <c r="E60" s="14" t="n">
        <v>13</v>
      </c>
      <c r="F60" s="16">
        <f>SUMIFS(Hourly!$D:$D,Hourly!$A:$A,$C$4,Hourly!$B:$B,"Weekday",Hourly!$C:$C,$E60)</f>
        <v/>
      </c>
      <c r="G60" s="16">
        <f>SUMIFS(Hourly!$D:$D,Hourly!$A:$A,$C$4,Hourly!$B:$B,"Weekend",Hourly!$C:$C,$E60)</f>
        <v/>
      </c>
    </row>
    <row r="61">
      <c r="B61" s="14" t="inlineStr">
        <is>
          <t>2024-03</t>
        </is>
      </c>
      <c r="C61" s="15">
        <f>SUMIFS(Monthly!$D:$D,Monthly!$A:$A,$C$4,Monthly!$C:$C,B61)</f>
        <v/>
      </c>
      <c r="E61" s="14" t="n">
        <v>14</v>
      </c>
      <c r="F61" s="16">
        <f>SUMIFS(Hourly!$D:$D,Hourly!$A:$A,$C$4,Hourly!$B:$B,"Weekday",Hourly!$C:$C,$E61)</f>
        <v/>
      </c>
      <c r="G61" s="16">
        <f>SUMIFS(Hourly!$D:$D,Hourly!$A:$A,$C$4,Hourly!$B:$B,"Weekend",Hourly!$C:$C,$E61)</f>
        <v/>
      </c>
    </row>
    <row r="62">
      <c r="B62" s="14" t="inlineStr">
        <is>
          <t>2024-04</t>
        </is>
      </c>
      <c r="C62" s="15">
        <f>SUMIFS(Monthly!$D:$D,Monthly!$A:$A,$C$4,Monthly!$C:$C,B62)</f>
        <v/>
      </c>
      <c r="E62" s="14" t="n">
        <v>15</v>
      </c>
      <c r="F62" s="16">
        <f>SUMIFS(Hourly!$D:$D,Hourly!$A:$A,$C$4,Hourly!$B:$B,"Weekday",Hourly!$C:$C,$E62)</f>
        <v/>
      </c>
      <c r="G62" s="16">
        <f>SUMIFS(Hourly!$D:$D,Hourly!$A:$A,$C$4,Hourly!$B:$B,"Weekend",Hourly!$C:$C,$E62)</f>
        <v/>
      </c>
    </row>
    <row r="63">
      <c r="B63" s="14" t="inlineStr">
        <is>
          <t>2024-05</t>
        </is>
      </c>
      <c r="C63" s="15">
        <f>SUMIFS(Monthly!$D:$D,Monthly!$A:$A,$C$4,Monthly!$C:$C,B63)</f>
        <v/>
      </c>
      <c r="E63" s="14" t="n">
        <v>16</v>
      </c>
      <c r="F63" s="16">
        <f>SUMIFS(Hourly!$D:$D,Hourly!$A:$A,$C$4,Hourly!$B:$B,"Weekday",Hourly!$C:$C,$E63)</f>
        <v/>
      </c>
      <c r="G63" s="16">
        <f>SUMIFS(Hourly!$D:$D,Hourly!$A:$A,$C$4,Hourly!$B:$B,"Weekend",Hourly!$C:$C,$E63)</f>
        <v/>
      </c>
    </row>
    <row r="64">
      <c r="B64" s="14" t="inlineStr">
        <is>
          <t>2024-06</t>
        </is>
      </c>
      <c r="C64" s="15">
        <f>SUMIFS(Monthly!$D:$D,Monthly!$A:$A,$C$4,Monthly!$C:$C,B64)</f>
        <v/>
      </c>
      <c r="E64" s="14" t="n">
        <v>17</v>
      </c>
      <c r="F64" s="16">
        <f>SUMIFS(Hourly!$D:$D,Hourly!$A:$A,$C$4,Hourly!$B:$B,"Weekday",Hourly!$C:$C,$E64)</f>
        <v/>
      </c>
      <c r="G64" s="16">
        <f>SUMIFS(Hourly!$D:$D,Hourly!$A:$A,$C$4,Hourly!$B:$B,"Weekend",Hourly!$C:$C,$E64)</f>
        <v/>
      </c>
    </row>
    <row r="65">
      <c r="B65" s="14" t="inlineStr">
        <is>
          <t>2024-07</t>
        </is>
      </c>
      <c r="C65" s="15">
        <f>SUMIFS(Monthly!$D:$D,Monthly!$A:$A,$C$4,Monthly!$C:$C,B65)</f>
        <v/>
      </c>
      <c r="E65" s="14" t="n">
        <v>18</v>
      </c>
      <c r="F65" s="16">
        <f>SUMIFS(Hourly!$D:$D,Hourly!$A:$A,$C$4,Hourly!$B:$B,"Weekday",Hourly!$C:$C,$E65)</f>
        <v/>
      </c>
      <c r="G65" s="16">
        <f>SUMIFS(Hourly!$D:$D,Hourly!$A:$A,$C$4,Hourly!$B:$B,"Weekend",Hourly!$C:$C,$E65)</f>
        <v/>
      </c>
    </row>
    <row r="66">
      <c r="B66" s="14" t="inlineStr">
        <is>
          <t>2024-08</t>
        </is>
      </c>
      <c r="C66" s="15">
        <f>SUMIFS(Monthly!$D:$D,Monthly!$A:$A,$C$4,Monthly!$C:$C,B66)</f>
        <v/>
      </c>
      <c r="E66" s="14" t="n">
        <v>19</v>
      </c>
      <c r="F66" s="16">
        <f>SUMIFS(Hourly!$D:$D,Hourly!$A:$A,$C$4,Hourly!$B:$B,"Weekday",Hourly!$C:$C,$E66)</f>
        <v/>
      </c>
      <c r="G66" s="16">
        <f>SUMIFS(Hourly!$D:$D,Hourly!$A:$A,$C$4,Hourly!$B:$B,"Weekend",Hourly!$C:$C,$E66)</f>
        <v/>
      </c>
    </row>
    <row r="67">
      <c r="B67" s="14" t="inlineStr">
        <is>
          <t>2024-09</t>
        </is>
      </c>
      <c r="C67" s="15">
        <f>SUMIFS(Monthly!$D:$D,Monthly!$A:$A,$C$4,Monthly!$C:$C,B67)</f>
        <v/>
      </c>
      <c r="E67" s="14" t="n">
        <v>20</v>
      </c>
      <c r="F67" s="16">
        <f>SUMIFS(Hourly!$D:$D,Hourly!$A:$A,$C$4,Hourly!$B:$B,"Weekday",Hourly!$C:$C,$E67)</f>
        <v/>
      </c>
      <c r="G67" s="16">
        <f>SUMIFS(Hourly!$D:$D,Hourly!$A:$A,$C$4,Hourly!$B:$B,"Weekend",Hourly!$C:$C,$E67)</f>
        <v/>
      </c>
    </row>
    <row r="68">
      <c r="B68" s="14" t="inlineStr">
        <is>
          <t>2024-10</t>
        </is>
      </c>
      <c r="C68" s="15">
        <f>SUMIFS(Monthly!$D:$D,Monthly!$A:$A,$C$4,Monthly!$C:$C,B68)</f>
        <v/>
      </c>
      <c r="E68" s="14" t="n">
        <v>21</v>
      </c>
      <c r="F68" s="16">
        <f>SUMIFS(Hourly!$D:$D,Hourly!$A:$A,$C$4,Hourly!$B:$B,"Weekday",Hourly!$C:$C,$E68)</f>
        <v/>
      </c>
      <c r="G68" s="16">
        <f>SUMIFS(Hourly!$D:$D,Hourly!$A:$A,$C$4,Hourly!$B:$B,"Weekend",Hourly!$C:$C,$E68)</f>
        <v/>
      </c>
    </row>
    <row r="69">
      <c r="B69" s="14" t="inlineStr">
        <is>
          <t>2024-11</t>
        </is>
      </c>
      <c r="C69" s="15">
        <f>SUMIFS(Monthly!$D:$D,Monthly!$A:$A,$C$4,Monthly!$C:$C,B69)</f>
        <v/>
      </c>
      <c r="E69" s="14" t="n">
        <v>22</v>
      </c>
      <c r="F69" s="16">
        <f>SUMIFS(Hourly!$D:$D,Hourly!$A:$A,$C$4,Hourly!$B:$B,"Weekday",Hourly!$C:$C,$E69)</f>
        <v/>
      </c>
      <c r="G69" s="16">
        <f>SUMIFS(Hourly!$D:$D,Hourly!$A:$A,$C$4,Hourly!$B:$B,"Weekend",Hourly!$C:$C,$E69)</f>
        <v/>
      </c>
    </row>
    <row r="70">
      <c r="B70" s="14" t="inlineStr">
        <is>
          <t>2024-12</t>
        </is>
      </c>
      <c r="C70" s="15">
        <f>SUMIFS(Monthly!$D:$D,Monthly!$A:$A,$C$4,Monthly!$C:$C,B70)</f>
        <v/>
      </c>
      <c r="E70" s="14" t="n">
        <v>23</v>
      </c>
      <c r="F70" s="16">
        <f>SUMIFS(Hourly!$D:$D,Hourly!$A:$A,$C$4,Hourly!$B:$B,"Weekday",Hourly!$C:$C,$E70)</f>
        <v/>
      </c>
      <c r="G70" s="16">
        <f>SUMIFS(Hourly!$D:$D,Hourly!$A:$A,$C$4,Hourly!$B:$B,"Weekend",Hourly!$C:$C,$E70)</f>
        <v/>
      </c>
    </row>
    <row r="71">
      <c r="B71" s="14" t="inlineStr">
        <is>
          <t>2025-01</t>
        </is>
      </c>
      <c r="C71" s="15">
        <f>SUMIFS(Monthly!$D:$D,Monthly!$A:$A,$C$4,Monthly!$C:$C,B71)</f>
        <v/>
      </c>
    </row>
    <row r="72">
      <c r="B72" s="14" t="inlineStr">
        <is>
          <t>2025-02</t>
        </is>
      </c>
      <c r="C72" s="15">
        <f>SUMIFS(Monthly!$D:$D,Monthly!$A:$A,$C$4,Monthly!$C:$C,B72)</f>
        <v/>
      </c>
    </row>
    <row r="73">
      <c r="B73" s="14" t="inlineStr">
        <is>
          <t>2025-03</t>
        </is>
      </c>
      <c r="C73" s="15">
        <f>SUMIFS(Monthly!$D:$D,Monthly!$A:$A,$C$4,Monthly!$C:$C,B73)</f>
        <v/>
      </c>
    </row>
    <row r="74">
      <c r="B74" s="14" t="inlineStr">
        <is>
          <t>2025-04</t>
        </is>
      </c>
      <c r="C74" s="15">
        <f>SUMIFS(Monthly!$D:$D,Monthly!$A:$A,$C$4,Monthly!$C:$C,B74)</f>
        <v/>
      </c>
    </row>
    <row r="75">
      <c r="B75" s="14" t="inlineStr">
        <is>
          <t>2025-05</t>
        </is>
      </c>
      <c r="C75" s="15">
        <f>SUMIFS(Monthly!$D:$D,Monthly!$A:$A,$C$4,Monthly!$C:$C,B75)</f>
        <v/>
      </c>
    </row>
    <row r="76">
      <c r="B76" s="14" t="inlineStr">
        <is>
          <t>2025-06</t>
        </is>
      </c>
      <c r="C76" s="15">
        <f>SUMIFS(Monthly!$D:$D,Monthly!$A:$A,$C$4,Monthly!$C:$C,B76)</f>
        <v/>
      </c>
    </row>
    <row r="77">
      <c r="B77" s="14" t="inlineStr">
        <is>
          <t>2025-07</t>
        </is>
      </c>
      <c r="C77" s="15">
        <f>SUMIFS(Monthly!$D:$D,Monthly!$A:$A,$C$4,Monthly!$C:$C,B77)</f>
        <v/>
      </c>
    </row>
    <row r="78">
      <c r="B78" s="14" t="inlineStr">
        <is>
          <t>2025-08</t>
        </is>
      </c>
      <c r="C78" s="15">
        <f>SUMIFS(Monthly!$D:$D,Monthly!$A:$A,$C$4,Monthly!$C:$C,B78)</f>
        <v/>
      </c>
    </row>
    <row r="79">
      <c r="B79" s="14" t="inlineStr">
        <is>
          <t>2025-09</t>
        </is>
      </c>
      <c r="C79" s="15">
        <f>SUMIFS(Monthly!$D:$D,Monthly!$A:$A,$C$4,Monthly!$C:$C,B79)</f>
        <v/>
      </c>
    </row>
    <row r="80">
      <c r="B80" s="14" t="inlineStr">
        <is>
          <t>2025-10</t>
        </is>
      </c>
      <c r="C80" s="15">
        <f>SUMIFS(Monthly!$D:$D,Monthly!$A:$A,$C$4,Monthly!$C:$C,B80)</f>
        <v/>
      </c>
    </row>
    <row r="81">
      <c r="B81" s="14" t="inlineStr">
        <is>
          <t>2025-11</t>
        </is>
      </c>
      <c r="C81" s="15">
        <f>SUMIFS(Monthly!$D:$D,Monthly!$A:$A,$C$4,Monthly!$C:$C,B81)</f>
        <v/>
      </c>
    </row>
    <row r="82">
      <c r="B82" s="14" t="inlineStr">
        <is>
          <t>2025-12</t>
        </is>
      </c>
      <c r="C82" s="15">
        <f>SUMIFS(Monthly!$D:$D,Monthly!$A:$A,$C$4,Monthly!$C:$C,B82)</f>
        <v/>
      </c>
    </row>
  </sheetData>
  <mergeCells count="8">
    <mergeCell ref="D6:E6"/>
    <mergeCell ref="B6:C6"/>
    <mergeCell ref="D7:E7"/>
    <mergeCell ref="B7:C7"/>
    <mergeCell ref="H6:I6"/>
    <mergeCell ref="H7:I7"/>
    <mergeCell ref="F6:G6"/>
    <mergeCell ref="F7:G7"/>
  </mergeCells>
  <dataValidations count="1">
    <dataValidation sqref="C4" showDropDown="0" showInputMessage="0" showErrorMessage="0" allowBlank="0" type="list">
      <formula1>"H001,H002,H003"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8" t="inlineStr">
        <is>
          <t>Key findings</t>
        </is>
      </c>
    </row>
    <row r="3" ht="34" customHeight="1">
      <c r="B3" s="19" t="inlineStr">
        <is>
          <t>1.  Daily shape: H002 and H003 peak at 19:00 on weekdays and weekends; evening is the heaviest period for typical homes.</t>
        </is>
      </c>
    </row>
    <row r="4" ht="34" customHeight="1">
      <c r="B4" s="19" t="inlineStr">
        <is>
          <t>2.  Weather drives usage: winter days use roughly 2x the electricity of summer days; temperature explains 80-99% of daily variation (R-squared on the Weather sheet).</t>
        </is>
      </c>
    </row>
    <row r="5" ht="34" customHeight="1">
      <c r="B5" s="19" t="inlineStr">
        <is>
          <t>3.  H001 jumped ~18% in 2024 and ~14% in 2025: overnight (23:00-03:00) load rose by ~1.8 kWh/hr starting July 2024, consistent with EV charging.</t>
        </is>
      </c>
    </row>
    <row r="6" ht="34" customHeight="1">
      <c r="B6" s="19" t="inlineStr">
        <is>
          <t>4.  After removing weather effects, H001's underlying use rose ~56% (2023 to 2025), while H002 fell ~8.5% (appliance/lighting efficiency) and H003 was flat.</t>
        </is>
      </c>
    </row>
    <row r="7" ht="34" customHeight="1">
      <c r="B7" s="19" t="inlineStr">
        <is>
          <t>5.  Data quality: 687 of 79,062 raw rows (0.9%) were removed - 150 duplicates, 473 missing, 39 negative and 25 spike (unit-error) readings.</t>
        </is>
      </c>
    </row>
    <row r="8" ht="34" customHeight="1">
      <c r="B8" s="19" t="inlineStr">
        <is>
          <t>6.  Recommendation angle: EV charging makes 23:00 H001's weekday peak hour; smart-scheduling the charge across later overnight hours would flatten that peak.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7" customWidth="1" min="5" max="5"/>
  </cols>
  <sheetData>
    <row r="1" ht="22" customHeight="1">
      <c r="A1" s="20" t="inlineStr">
        <is>
          <t>household_id</t>
        </is>
      </c>
      <c r="B1" s="20" t="inlineStr">
        <is>
          <t>home_type</t>
        </is>
      </c>
      <c r="C1" s="20" t="inlineStr">
        <is>
          <t>year_month</t>
        </is>
      </c>
      <c r="D1" s="20" t="inlineStr">
        <is>
          <t>total_kwh</t>
        </is>
      </c>
      <c r="E1" s="20" t="inlineStr">
        <is>
          <t>avg_hourly_kwh</t>
        </is>
      </c>
    </row>
    <row r="2">
      <c r="A2" s="14" t="inlineStr">
        <is>
          <t>H001</t>
        </is>
      </c>
      <c r="B2" s="14" t="inlineStr">
        <is>
          <t>Detached</t>
        </is>
      </c>
      <c r="C2" s="14" t="inlineStr">
        <is>
          <t>2023-01</t>
        </is>
      </c>
      <c r="D2" s="21" t="n">
        <v>1252.6</v>
      </c>
      <c r="E2" s="22" t="n">
        <v>1.7</v>
      </c>
    </row>
    <row r="3">
      <c r="A3" s="14" t="inlineStr">
        <is>
          <t>H001</t>
        </is>
      </c>
      <c r="B3" s="14" t="inlineStr">
        <is>
          <t>Detached</t>
        </is>
      </c>
      <c r="C3" s="14" t="inlineStr">
        <is>
          <t>2023-02</t>
        </is>
      </c>
      <c r="D3" s="21" t="n">
        <v>1082.8</v>
      </c>
      <c r="E3" s="22" t="n">
        <v>1.614</v>
      </c>
    </row>
    <row r="4">
      <c r="A4" s="14" t="inlineStr">
        <is>
          <t>H001</t>
        </is>
      </c>
      <c r="B4" s="14" t="inlineStr">
        <is>
          <t>Detached</t>
        </is>
      </c>
      <c r="C4" s="14" t="inlineStr">
        <is>
          <t>2023-03</t>
        </is>
      </c>
      <c r="D4" s="21" t="n">
        <v>1015.9</v>
      </c>
      <c r="E4" s="22" t="n">
        <v>1.371</v>
      </c>
    </row>
    <row r="5">
      <c r="A5" s="14" t="inlineStr">
        <is>
          <t>H001</t>
        </is>
      </c>
      <c r="B5" s="14" t="inlineStr">
        <is>
          <t>Detached</t>
        </is>
      </c>
      <c r="C5" s="14" t="inlineStr">
        <is>
          <t>2023-04</t>
        </is>
      </c>
      <c r="D5" s="21" t="n">
        <v>709.2</v>
      </c>
      <c r="E5" s="22" t="n">
        <v>0.992</v>
      </c>
    </row>
    <row r="6">
      <c r="A6" s="14" t="inlineStr">
        <is>
          <t>H001</t>
        </is>
      </c>
      <c r="B6" s="14" t="inlineStr">
        <is>
          <t>Detached</t>
        </is>
      </c>
      <c r="C6" s="14" t="inlineStr">
        <is>
          <t>2023-05</t>
        </is>
      </c>
      <c r="D6" s="21" t="n">
        <v>514.4</v>
      </c>
      <c r="E6" s="22" t="n">
        <v>0.695</v>
      </c>
    </row>
    <row r="7">
      <c r="A7" s="14" t="inlineStr">
        <is>
          <t>H001</t>
        </is>
      </c>
      <c r="B7" s="14" t="inlineStr">
        <is>
          <t>Detached</t>
        </is>
      </c>
      <c r="C7" s="14" t="inlineStr">
        <is>
          <t>2023-06</t>
        </is>
      </c>
      <c r="D7" s="21" t="n">
        <v>475.8</v>
      </c>
      <c r="E7" s="22" t="n">
        <v>0.665</v>
      </c>
    </row>
    <row r="8">
      <c r="A8" s="14" t="inlineStr">
        <is>
          <t>H001</t>
        </is>
      </c>
      <c r="B8" s="14" t="inlineStr">
        <is>
          <t>Detached</t>
        </is>
      </c>
      <c r="C8" s="14" t="inlineStr">
        <is>
          <t>2023-07</t>
        </is>
      </c>
      <c r="D8" s="21" t="n">
        <v>529.3</v>
      </c>
      <c r="E8" s="22" t="n">
        <v>0.722</v>
      </c>
    </row>
    <row r="9">
      <c r="A9" s="14" t="inlineStr">
        <is>
          <t>H001</t>
        </is>
      </c>
      <c r="B9" s="14" t="inlineStr">
        <is>
          <t>Detached</t>
        </is>
      </c>
      <c r="C9" s="14" t="inlineStr">
        <is>
          <t>2023-08</t>
        </is>
      </c>
      <c r="D9" s="21" t="n">
        <v>504.1</v>
      </c>
      <c r="E9" s="22" t="n">
        <v>0.6840000000000001</v>
      </c>
    </row>
    <row r="10">
      <c r="A10" s="14" t="inlineStr">
        <is>
          <t>H001</t>
        </is>
      </c>
      <c r="B10" s="14" t="inlineStr">
        <is>
          <t>Detached</t>
        </is>
      </c>
      <c r="C10" s="14" t="inlineStr">
        <is>
          <t>2023-09</t>
        </is>
      </c>
      <c r="D10" s="21" t="n">
        <v>480.7</v>
      </c>
      <c r="E10" s="22" t="n">
        <v>0.671</v>
      </c>
    </row>
    <row r="11">
      <c r="A11" s="14" t="inlineStr">
        <is>
          <t>H001</t>
        </is>
      </c>
      <c r="B11" s="14" t="inlineStr">
        <is>
          <t>Detached</t>
        </is>
      </c>
      <c r="C11" s="14" t="inlineStr">
        <is>
          <t>2023-10</t>
        </is>
      </c>
      <c r="D11" s="21" t="n">
        <v>662.3</v>
      </c>
      <c r="E11" s="22" t="n">
        <v>0.896</v>
      </c>
    </row>
    <row r="12">
      <c r="A12" s="14" t="inlineStr">
        <is>
          <t>H001</t>
        </is>
      </c>
      <c r="B12" s="14" t="inlineStr">
        <is>
          <t>Detached</t>
        </is>
      </c>
      <c r="C12" s="14" t="inlineStr">
        <is>
          <t>2023-11</t>
        </is>
      </c>
      <c r="D12" s="21" t="n">
        <v>918.2</v>
      </c>
      <c r="E12" s="22" t="n">
        <v>1.281</v>
      </c>
    </row>
    <row r="13">
      <c r="A13" s="14" t="inlineStr">
        <is>
          <t>H001</t>
        </is>
      </c>
      <c r="B13" s="14" t="inlineStr">
        <is>
          <t>Detached</t>
        </is>
      </c>
      <c r="C13" s="14" t="inlineStr">
        <is>
          <t>2023-12</t>
        </is>
      </c>
      <c r="D13" s="21" t="n">
        <v>1149.3</v>
      </c>
      <c r="E13" s="22" t="n">
        <v>1.562</v>
      </c>
    </row>
    <row r="14">
      <c r="A14" s="14" t="inlineStr">
        <is>
          <t>H001</t>
        </is>
      </c>
      <c r="B14" s="14" t="inlineStr">
        <is>
          <t>Detached</t>
        </is>
      </c>
      <c r="C14" s="14" t="inlineStr">
        <is>
          <t>2024-01</t>
        </is>
      </c>
      <c r="D14" s="21" t="n">
        <v>1257.7</v>
      </c>
      <c r="E14" s="22" t="n">
        <v>1.697</v>
      </c>
    </row>
    <row r="15">
      <c r="A15" s="14" t="inlineStr">
        <is>
          <t>H001</t>
        </is>
      </c>
      <c r="B15" s="14" t="inlineStr">
        <is>
          <t>Detached</t>
        </is>
      </c>
      <c r="C15" s="14" t="inlineStr">
        <is>
          <t>2024-02</t>
        </is>
      </c>
      <c r="D15" s="21" t="n">
        <v>1118.6</v>
      </c>
      <c r="E15" s="22" t="n">
        <v>1.616</v>
      </c>
    </row>
    <row r="16">
      <c r="A16" s="14" t="inlineStr">
        <is>
          <t>H001</t>
        </is>
      </c>
      <c r="B16" s="14" t="inlineStr">
        <is>
          <t>Detached</t>
        </is>
      </c>
      <c r="C16" s="14" t="inlineStr">
        <is>
          <t>2024-03</t>
        </is>
      </c>
      <c r="D16" s="21" t="n">
        <v>1000.8</v>
      </c>
      <c r="E16" s="22" t="n">
        <v>1.351</v>
      </c>
    </row>
    <row r="17">
      <c r="A17" s="14" t="inlineStr">
        <is>
          <t>H001</t>
        </is>
      </c>
      <c r="B17" s="14" t="inlineStr">
        <is>
          <t>Detached</t>
        </is>
      </c>
      <c r="C17" s="14" t="inlineStr">
        <is>
          <t>2024-04</t>
        </is>
      </c>
      <c r="D17" s="21" t="n">
        <v>696.1</v>
      </c>
      <c r="E17" s="22" t="n">
        <v>0.98</v>
      </c>
    </row>
    <row r="18">
      <c r="A18" s="14" t="inlineStr">
        <is>
          <t>H001</t>
        </is>
      </c>
      <c r="B18" s="14" t="inlineStr">
        <is>
          <t>Detached</t>
        </is>
      </c>
      <c r="C18" s="14" t="inlineStr">
        <is>
          <t>2024-05</t>
        </is>
      </c>
      <c r="D18" s="21" t="n">
        <v>510</v>
      </c>
      <c r="E18" s="22" t="n">
        <v>0.6899999999999999</v>
      </c>
    </row>
    <row r="19">
      <c r="A19" s="14" t="inlineStr">
        <is>
          <t>H001</t>
        </is>
      </c>
      <c r="B19" s="14" t="inlineStr">
        <is>
          <t>Detached</t>
        </is>
      </c>
      <c r="C19" s="14" t="inlineStr">
        <is>
          <t>2024-06</t>
        </is>
      </c>
      <c r="D19" s="21" t="n">
        <v>473.8</v>
      </c>
      <c r="E19" s="22" t="n">
        <v>0.664</v>
      </c>
    </row>
    <row r="20">
      <c r="A20" s="14" t="inlineStr">
        <is>
          <t>H001</t>
        </is>
      </c>
      <c r="B20" s="14" t="inlineStr">
        <is>
          <t>Detached</t>
        </is>
      </c>
      <c r="C20" s="14" t="inlineStr">
        <is>
          <t>2024-07</t>
        </is>
      </c>
      <c r="D20" s="21" t="n">
        <v>812.1</v>
      </c>
      <c r="E20" s="22" t="n">
        <v>1.096</v>
      </c>
    </row>
    <row r="21">
      <c r="A21" s="14" t="inlineStr">
        <is>
          <t>H001</t>
        </is>
      </c>
      <c r="B21" s="14" t="inlineStr">
        <is>
          <t>Detached</t>
        </is>
      </c>
      <c r="C21" s="14" t="inlineStr">
        <is>
          <t>2024-08</t>
        </is>
      </c>
      <c r="D21" s="21" t="n">
        <v>783.2</v>
      </c>
      <c r="E21" s="22" t="n">
        <v>1.061</v>
      </c>
    </row>
    <row r="22">
      <c r="A22" s="14" t="inlineStr">
        <is>
          <t>H001</t>
        </is>
      </c>
      <c r="B22" s="14" t="inlineStr">
        <is>
          <t>Detached</t>
        </is>
      </c>
      <c r="C22" s="14" t="inlineStr">
        <is>
          <t>2024-09</t>
        </is>
      </c>
      <c r="D22" s="21" t="n">
        <v>743.4</v>
      </c>
      <c r="E22" s="22" t="n">
        <v>1.046</v>
      </c>
    </row>
    <row r="23">
      <c r="A23" s="14" t="inlineStr">
        <is>
          <t>H001</t>
        </is>
      </c>
      <c r="B23" s="14" t="inlineStr">
        <is>
          <t>Detached</t>
        </is>
      </c>
      <c r="C23" s="14" t="inlineStr">
        <is>
          <t>2024-10</t>
        </is>
      </c>
      <c r="D23" s="21" t="n">
        <v>947.9</v>
      </c>
      <c r="E23" s="22" t="n">
        <v>1.279</v>
      </c>
    </row>
    <row r="24">
      <c r="A24" s="14" t="inlineStr">
        <is>
          <t>H001</t>
        </is>
      </c>
      <c r="B24" s="14" t="inlineStr">
        <is>
          <t>Detached</t>
        </is>
      </c>
      <c r="C24" s="14" t="inlineStr">
        <is>
          <t>2024-11</t>
        </is>
      </c>
      <c r="D24" s="21" t="n">
        <v>1178</v>
      </c>
      <c r="E24" s="22" t="n">
        <v>1.654</v>
      </c>
    </row>
    <row r="25">
      <c r="A25" s="14" t="inlineStr">
        <is>
          <t>H001</t>
        </is>
      </c>
      <c r="B25" s="14" t="inlineStr">
        <is>
          <t>Detached</t>
        </is>
      </c>
      <c r="C25" s="14" t="inlineStr">
        <is>
          <t>2024-12</t>
        </is>
      </c>
      <c r="D25" s="21" t="n">
        <v>1436.2</v>
      </c>
      <c r="E25" s="22" t="n">
        <v>1.938</v>
      </c>
    </row>
    <row r="26">
      <c r="A26" s="14" t="inlineStr">
        <is>
          <t>H001</t>
        </is>
      </c>
      <c r="B26" s="14" t="inlineStr">
        <is>
          <t>Detached</t>
        </is>
      </c>
      <c r="C26" s="14" t="inlineStr">
        <is>
          <t>2025-01</t>
        </is>
      </c>
      <c r="D26" s="21" t="n">
        <v>1523.9</v>
      </c>
      <c r="E26" s="22" t="n">
        <v>2.059</v>
      </c>
    </row>
    <row r="27">
      <c r="A27" s="14" t="inlineStr">
        <is>
          <t>H001</t>
        </is>
      </c>
      <c r="B27" s="14" t="inlineStr">
        <is>
          <t>Detached</t>
        </is>
      </c>
      <c r="C27" s="14" t="inlineStr">
        <is>
          <t>2025-02</t>
        </is>
      </c>
      <c r="D27" s="21" t="n">
        <v>1324.5</v>
      </c>
      <c r="E27" s="22" t="n">
        <v>1.983</v>
      </c>
    </row>
    <row r="28">
      <c r="A28" s="14" t="inlineStr">
        <is>
          <t>H001</t>
        </is>
      </c>
      <c r="B28" s="14" t="inlineStr">
        <is>
          <t>Detached</t>
        </is>
      </c>
      <c r="C28" s="14" t="inlineStr">
        <is>
          <t>2025-03</t>
        </is>
      </c>
      <c r="D28" s="21" t="n">
        <v>1276.9</v>
      </c>
      <c r="E28" s="22" t="n">
        <v>1.728</v>
      </c>
    </row>
    <row r="29">
      <c r="A29" s="14" t="inlineStr">
        <is>
          <t>H001</t>
        </is>
      </c>
      <c r="B29" s="14" t="inlineStr">
        <is>
          <t>Detached</t>
        </is>
      </c>
      <c r="C29" s="14" t="inlineStr">
        <is>
          <t>2025-04</t>
        </is>
      </c>
      <c r="D29" s="21" t="n">
        <v>971.5</v>
      </c>
      <c r="E29" s="22" t="n">
        <v>1.353</v>
      </c>
    </row>
    <row r="30">
      <c r="A30" s="14" t="inlineStr">
        <is>
          <t>H001</t>
        </is>
      </c>
      <c r="B30" s="14" t="inlineStr">
        <is>
          <t>Detached</t>
        </is>
      </c>
      <c r="C30" s="14" t="inlineStr">
        <is>
          <t>2025-05</t>
        </is>
      </c>
      <c r="D30" s="21" t="n">
        <v>797.7</v>
      </c>
      <c r="E30" s="22" t="n">
        <v>1.078</v>
      </c>
    </row>
    <row r="31">
      <c r="A31" s="14" t="inlineStr">
        <is>
          <t>H001</t>
        </is>
      </c>
      <c r="B31" s="14" t="inlineStr">
        <is>
          <t>Detached</t>
        </is>
      </c>
      <c r="C31" s="14" t="inlineStr">
        <is>
          <t>2025-06</t>
        </is>
      </c>
      <c r="D31" s="21" t="n">
        <v>730.4</v>
      </c>
      <c r="E31" s="22" t="n">
        <v>1.027</v>
      </c>
    </row>
    <row r="32">
      <c r="A32" s="14" t="inlineStr">
        <is>
          <t>H001</t>
        </is>
      </c>
      <c r="B32" s="14" t="inlineStr">
        <is>
          <t>Detached</t>
        </is>
      </c>
      <c r="C32" s="14" t="inlineStr">
        <is>
          <t>2025-07</t>
        </is>
      </c>
      <c r="D32" s="21" t="n">
        <v>801</v>
      </c>
      <c r="E32" s="22" t="n">
        <v>1.09</v>
      </c>
    </row>
    <row r="33">
      <c r="A33" s="14" t="inlineStr">
        <is>
          <t>H001</t>
        </is>
      </c>
      <c r="B33" s="14" t="inlineStr">
        <is>
          <t>Detached</t>
        </is>
      </c>
      <c r="C33" s="14" t="inlineStr">
        <is>
          <t>2025-08</t>
        </is>
      </c>
      <c r="D33" s="21" t="n">
        <v>775.4</v>
      </c>
      <c r="E33" s="22" t="n">
        <v>1.052</v>
      </c>
    </row>
    <row r="34">
      <c r="A34" s="14" t="inlineStr">
        <is>
          <t>H001</t>
        </is>
      </c>
      <c r="B34" s="14" t="inlineStr">
        <is>
          <t>Detached</t>
        </is>
      </c>
      <c r="C34" s="14" t="inlineStr">
        <is>
          <t>2025-09</t>
        </is>
      </c>
      <c r="D34" s="21" t="n">
        <v>744.7</v>
      </c>
      <c r="E34" s="22" t="n">
        <v>1.04</v>
      </c>
    </row>
    <row r="35">
      <c r="A35" s="14" t="inlineStr">
        <is>
          <t>H001</t>
        </is>
      </c>
      <c r="B35" s="14" t="inlineStr">
        <is>
          <t>Detached</t>
        </is>
      </c>
      <c r="C35" s="14" t="inlineStr">
        <is>
          <t>2025-10</t>
        </is>
      </c>
      <c r="D35" s="21" t="n">
        <v>932.7</v>
      </c>
      <c r="E35" s="22" t="n">
        <v>1.267</v>
      </c>
    </row>
    <row r="36">
      <c r="A36" s="14" t="inlineStr">
        <is>
          <t>H001</t>
        </is>
      </c>
      <c r="B36" s="14" t="inlineStr">
        <is>
          <t>Detached</t>
        </is>
      </c>
      <c r="C36" s="14" t="inlineStr">
        <is>
          <t>2025-11</t>
        </is>
      </c>
      <c r="D36" s="21" t="n">
        <v>1181.4</v>
      </c>
      <c r="E36" s="22" t="n">
        <v>1.645</v>
      </c>
    </row>
    <row r="37">
      <c r="A37" s="14" t="inlineStr">
        <is>
          <t>H001</t>
        </is>
      </c>
      <c r="B37" s="14" t="inlineStr">
        <is>
          <t>Detached</t>
        </is>
      </c>
      <c r="C37" s="14" t="inlineStr">
        <is>
          <t>2025-12</t>
        </is>
      </c>
      <c r="D37" s="21" t="n">
        <v>1436.2</v>
      </c>
      <c r="E37" s="22" t="n">
        <v>1.938</v>
      </c>
    </row>
    <row r="38">
      <c r="A38" s="14" t="inlineStr">
        <is>
          <t>H002</t>
        </is>
      </c>
      <c r="B38" s="14" t="inlineStr">
        <is>
          <t>Condo</t>
        </is>
      </c>
      <c r="C38" s="14" t="inlineStr">
        <is>
          <t>2023-01</t>
        </is>
      </c>
      <c r="D38" s="21" t="n">
        <v>370.7</v>
      </c>
      <c r="E38" s="22" t="n">
        <v>0.5</v>
      </c>
    </row>
    <row r="39">
      <c r="A39" s="14" t="inlineStr">
        <is>
          <t>H002</t>
        </is>
      </c>
      <c r="B39" s="14" t="inlineStr">
        <is>
          <t>Condo</t>
        </is>
      </c>
      <c r="C39" s="14" t="inlineStr">
        <is>
          <t>2023-02</t>
        </is>
      </c>
      <c r="D39" s="21" t="n">
        <v>313.3</v>
      </c>
      <c r="E39" s="22" t="n">
        <v>0.472</v>
      </c>
    </row>
    <row r="40">
      <c r="A40" s="14" t="inlineStr">
        <is>
          <t>H002</t>
        </is>
      </c>
      <c r="B40" s="14" t="inlineStr">
        <is>
          <t>Condo</t>
        </is>
      </c>
      <c r="C40" s="14" t="inlineStr">
        <is>
          <t>2023-03</t>
        </is>
      </c>
      <c r="D40" s="21" t="n">
        <v>298.3</v>
      </c>
      <c r="E40" s="22" t="n">
        <v>0.405</v>
      </c>
    </row>
    <row r="41">
      <c r="A41" s="14" t="inlineStr">
        <is>
          <t>H002</t>
        </is>
      </c>
      <c r="B41" s="14" t="inlineStr">
        <is>
          <t>Condo</t>
        </is>
      </c>
      <c r="C41" s="14" t="inlineStr">
        <is>
          <t>2023-04</t>
        </is>
      </c>
      <c r="D41" s="21" t="n">
        <v>216.9</v>
      </c>
      <c r="E41" s="22" t="n">
        <v>0.304</v>
      </c>
    </row>
    <row r="42">
      <c r="A42" s="14" t="inlineStr">
        <is>
          <t>H002</t>
        </is>
      </c>
      <c r="B42" s="14" t="inlineStr">
        <is>
          <t>Condo</t>
        </is>
      </c>
      <c r="C42" s="14" t="inlineStr">
        <is>
          <t>2023-05</t>
        </is>
      </c>
      <c r="D42" s="21" t="n">
        <v>165.8</v>
      </c>
      <c r="E42" s="22" t="n">
        <v>0.224</v>
      </c>
    </row>
    <row r="43">
      <c r="A43" s="14" t="inlineStr">
        <is>
          <t>H002</t>
        </is>
      </c>
      <c r="B43" s="14" t="inlineStr">
        <is>
          <t>Condo</t>
        </is>
      </c>
      <c r="C43" s="14" t="inlineStr">
        <is>
          <t>2023-06</t>
        </is>
      </c>
      <c r="D43" s="21" t="n">
        <v>154.7</v>
      </c>
      <c r="E43" s="22" t="n">
        <v>0.217</v>
      </c>
    </row>
    <row r="44">
      <c r="A44" s="14" t="inlineStr">
        <is>
          <t>H002</t>
        </is>
      </c>
      <c r="B44" s="14" t="inlineStr">
        <is>
          <t>Condo</t>
        </is>
      </c>
      <c r="C44" s="14" t="inlineStr">
        <is>
          <t>2023-07</t>
        </is>
      </c>
      <c r="D44" s="21" t="n">
        <v>174.8</v>
      </c>
      <c r="E44" s="22" t="n">
        <v>0.236</v>
      </c>
    </row>
    <row r="45">
      <c r="A45" s="14" t="inlineStr">
        <is>
          <t>H002</t>
        </is>
      </c>
      <c r="B45" s="14" t="inlineStr">
        <is>
          <t>Condo</t>
        </is>
      </c>
      <c r="C45" s="14" t="inlineStr">
        <is>
          <t>2023-08</t>
        </is>
      </c>
      <c r="D45" s="21" t="n">
        <v>166.1</v>
      </c>
      <c r="E45" s="22" t="n">
        <v>0.224</v>
      </c>
    </row>
    <row r="46">
      <c r="A46" s="14" t="inlineStr">
        <is>
          <t>H002</t>
        </is>
      </c>
      <c r="B46" s="14" t="inlineStr">
        <is>
          <t>Condo</t>
        </is>
      </c>
      <c r="C46" s="14" t="inlineStr">
        <is>
          <t>2023-09</t>
        </is>
      </c>
      <c r="D46" s="21" t="n">
        <v>154.5</v>
      </c>
      <c r="E46" s="22" t="n">
        <v>0.216</v>
      </c>
    </row>
    <row r="47">
      <c r="A47" s="14" t="inlineStr">
        <is>
          <t>H002</t>
        </is>
      </c>
      <c r="B47" s="14" t="inlineStr">
        <is>
          <t>Condo</t>
        </is>
      </c>
      <c r="C47" s="14" t="inlineStr">
        <is>
          <t>2023-10</t>
        </is>
      </c>
      <c r="D47" s="21" t="n">
        <v>202.6</v>
      </c>
      <c r="E47" s="22" t="n">
        <v>0.275</v>
      </c>
    </row>
    <row r="48">
      <c r="A48" s="14" t="inlineStr">
        <is>
          <t>H002</t>
        </is>
      </c>
      <c r="B48" s="14" t="inlineStr">
        <is>
          <t>Condo</t>
        </is>
      </c>
      <c r="C48" s="14" t="inlineStr">
        <is>
          <t>2023-11</t>
        </is>
      </c>
      <c r="D48" s="21" t="n">
        <v>268.5</v>
      </c>
      <c r="E48" s="22" t="n">
        <v>0.376</v>
      </c>
    </row>
    <row r="49">
      <c r="A49" s="14" t="inlineStr">
        <is>
          <t>H002</t>
        </is>
      </c>
      <c r="B49" s="14" t="inlineStr">
        <is>
          <t>Condo</t>
        </is>
      </c>
      <c r="C49" s="14" t="inlineStr">
        <is>
          <t>2023-12</t>
        </is>
      </c>
      <c r="D49" s="21" t="n">
        <v>331.9</v>
      </c>
      <c r="E49" s="22" t="n">
        <v>0.45</v>
      </c>
    </row>
    <row r="50">
      <c r="A50" s="14" t="inlineStr">
        <is>
          <t>H002</t>
        </is>
      </c>
      <c r="B50" s="14" t="inlineStr">
        <is>
          <t>Condo</t>
        </is>
      </c>
      <c r="C50" s="14" t="inlineStr">
        <is>
          <t>2024-01</t>
        </is>
      </c>
      <c r="D50" s="21" t="n">
        <v>359.8</v>
      </c>
      <c r="E50" s="22" t="n">
        <v>0.488</v>
      </c>
    </row>
    <row r="51">
      <c r="A51" s="14" t="inlineStr">
        <is>
          <t>H002</t>
        </is>
      </c>
      <c r="B51" s="14" t="inlineStr">
        <is>
          <t>Condo</t>
        </is>
      </c>
      <c r="C51" s="14" t="inlineStr">
        <is>
          <t>2024-02</t>
        </is>
      </c>
      <c r="D51" s="21" t="n">
        <v>319.6</v>
      </c>
      <c r="E51" s="22" t="n">
        <v>0.46</v>
      </c>
    </row>
    <row r="52">
      <c r="A52" s="14" t="inlineStr">
        <is>
          <t>H002</t>
        </is>
      </c>
      <c r="B52" s="14" t="inlineStr">
        <is>
          <t>Condo</t>
        </is>
      </c>
      <c r="C52" s="14" t="inlineStr">
        <is>
          <t>2024-03</t>
        </is>
      </c>
      <c r="D52" s="21" t="n">
        <v>292.4</v>
      </c>
      <c r="E52" s="22" t="n">
        <v>0.396</v>
      </c>
    </row>
    <row r="53">
      <c r="A53" s="14" t="inlineStr">
        <is>
          <t>H002</t>
        </is>
      </c>
      <c r="B53" s="14" t="inlineStr">
        <is>
          <t>Condo</t>
        </is>
      </c>
      <c r="C53" s="14" t="inlineStr">
        <is>
          <t>2024-04</t>
        </is>
      </c>
      <c r="D53" s="21" t="n">
        <v>209.2</v>
      </c>
      <c r="E53" s="22" t="n">
        <v>0.292</v>
      </c>
    </row>
    <row r="54">
      <c r="A54" s="14" t="inlineStr">
        <is>
          <t>H002</t>
        </is>
      </c>
      <c r="B54" s="14" t="inlineStr">
        <is>
          <t>Condo</t>
        </is>
      </c>
      <c r="C54" s="14" t="inlineStr">
        <is>
          <t>2024-05</t>
        </is>
      </c>
      <c r="D54" s="21" t="n">
        <v>160.2</v>
      </c>
      <c r="E54" s="22" t="n">
        <v>0.217</v>
      </c>
    </row>
    <row r="55">
      <c r="A55" s="14" t="inlineStr">
        <is>
          <t>H002</t>
        </is>
      </c>
      <c r="B55" s="14" t="inlineStr">
        <is>
          <t>Condo</t>
        </is>
      </c>
      <c r="C55" s="14" t="inlineStr">
        <is>
          <t>2024-06</t>
        </is>
      </c>
      <c r="D55" s="21" t="n">
        <v>151.5</v>
      </c>
      <c r="E55" s="22" t="n">
        <v>0.212</v>
      </c>
    </row>
    <row r="56">
      <c r="A56" s="14" t="inlineStr">
        <is>
          <t>H002</t>
        </is>
      </c>
      <c r="B56" s="14" t="inlineStr">
        <is>
          <t>Condo</t>
        </is>
      </c>
      <c r="C56" s="14" t="inlineStr">
        <is>
          <t>2024-07</t>
        </is>
      </c>
      <c r="D56" s="21" t="n">
        <v>171.9</v>
      </c>
      <c r="E56" s="22" t="n">
        <v>0.232</v>
      </c>
    </row>
    <row r="57">
      <c r="A57" s="14" t="inlineStr">
        <is>
          <t>H002</t>
        </is>
      </c>
      <c r="B57" s="14" t="inlineStr">
        <is>
          <t>Condo</t>
        </is>
      </c>
      <c r="C57" s="14" t="inlineStr">
        <is>
          <t>2024-08</t>
        </is>
      </c>
      <c r="D57" s="21" t="n">
        <v>161.9</v>
      </c>
      <c r="E57" s="22" t="n">
        <v>0.219</v>
      </c>
    </row>
    <row r="58">
      <c r="A58" s="14" t="inlineStr">
        <is>
          <t>H002</t>
        </is>
      </c>
      <c r="B58" s="14" t="inlineStr">
        <is>
          <t>Condo</t>
        </is>
      </c>
      <c r="C58" s="14" t="inlineStr">
        <is>
          <t>2024-09</t>
        </is>
      </c>
      <c r="D58" s="21" t="n">
        <v>151</v>
      </c>
      <c r="E58" s="22" t="n">
        <v>0.212</v>
      </c>
    </row>
    <row r="59">
      <c r="A59" s="14" t="inlineStr">
        <is>
          <t>H002</t>
        </is>
      </c>
      <c r="B59" s="14" t="inlineStr">
        <is>
          <t>Condo</t>
        </is>
      </c>
      <c r="C59" s="14" t="inlineStr">
        <is>
          <t>2024-10</t>
        </is>
      </c>
      <c r="D59" s="21" t="n">
        <v>200</v>
      </c>
      <c r="E59" s="22" t="n">
        <v>0.271</v>
      </c>
    </row>
    <row r="60">
      <c r="A60" s="14" t="inlineStr">
        <is>
          <t>H002</t>
        </is>
      </c>
      <c r="B60" s="14" t="inlineStr">
        <is>
          <t>Condo</t>
        </is>
      </c>
      <c r="C60" s="14" t="inlineStr">
        <is>
          <t>2024-11</t>
        </is>
      </c>
      <c r="D60" s="21" t="n">
        <v>261.8</v>
      </c>
      <c r="E60" s="22" t="n">
        <v>0.365</v>
      </c>
    </row>
    <row r="61">
      <c r="A61" s="14" t="inlineStr">
        <is>
          <t>H002</t>
        </is>
      </c>
      <c r="B61" s="14" t="inlineStr">
        <is>
          <t>Condo</t>
        </is>
      </c>
      <c r="C61" s="14" t="inlineStr">
        <is>
          <t>2024-12</t>
        </is>
      </c>
      <c r="D61" s="21" t="n">
        <v>323.8</v>
      </c>
      <c r="E61" s="22" t="n">
        <v>0.438</v>
      </c>
    </row>
    <row r="62">
      <c r="A62" s="14" t="inlineStr">
        <is>
          <t>H002</t>
        </is>
      </c>
      <c r="B62" s="14" t="inlineStr">
        <is>
          <t>Condo</t>
        </is>
      </c>
      <c r="C62" s="14" t="inlineStr">
        <is>
          <t>2025-01</t>
        </is>
      </c>
      <c r="D62" s="21" t="n">
        <v>345.4</v>
      </c>
      <c r="E62" s="22" t="n">
        <v>0.465</v>
      </c>
    </row>
    <row r="63">
      <c r="A63" s="14" t="inlineStr">
        <is>
          <t>H002</t>
        </is>
      </c>
      <c r="B63" s="14" t="inlineStr">
        <is>
          <t>Condo</t>
        </is>
      </c>
      <c r="C63" s="14" t="inlineStr">
        <is>
          <t>2025-02</t>
        </is>
      </c>
      <c r="D63" s="21" t="n">
        <v>299.9</v>
      </c>
      <c r="E63" s="22" t="n">
        <v>0.448</v>
      </c>
    </row>
    <row r="64">
      <c r="A64" s="14" t="inlineStr">
        <is>
          <t>H002</t>
        </is>
      </c>
      <c r="B64" s="14" t="inlineStr">
        <is>
          <t>Condo</t>
        </is>
      </c>
      <c r="C64" s="14" t="inlineStr">
        <is>
          <t>2025-03</t>
        </is>
      </c>
      <c r="D64" s="21" t="n">
        <v>281.7</v>
      </c>
      <c r="E64" s="22" t="n">
        <v>0.381</v>
      </c>
    </row>
    <row r="65">
      <c r="A65" s="14" t="inlineStr">
        <is>
          <t>H002</t>
        </is>
      </c>
      <c r="B65" s="14" t="inlineStr">
        <is>
          <t>Condo</t>
        </is>
      </c>
      <c r="C65" s="14" t="inlineStr">
        <is>
          <t>2025-04</t>
        </is>
      </c>
      <c r="D65" s="21" t="n">
        <v>204</v>
      </c>
      <c r="E65" s="22" t="n">
        <v>0.284</v>
      </c>
    </row>
    <row r="66">
      <c r="A66" s="14" t="inlineStr">
        <is>
          <t>H002</t>
        </is>
      </c>
      <c r="B66" s="14" t="inlineStr">
        <is>
          <t>Condo</t>
        </is>
      </c>
      <c r="C66" s="14" t="inlineStr">
        <is>
          <t>2025-05</t>
        </is>
      </c>
      <c r="D66" s="21" t="n">
        <v>157.3</v>
      </c>
      <c r="E66" s="22" t="n">
        <v>0.213</v>
      </c>
    </row>
    <row r="67">
      <c r="A67" s="14" t="inlineStr">
        <is>
          <t>H002</t>
        </is>
      </c>
      <c r="B67" s="14" t="inlineStr">
        <is>
          <t>Condo</t>
        </is>
      </c>
      <c r="C67" s="14" t="inlineStr">
        <is>
          <t>2025-06</t>
        </is>
      </c>
      <c r="D67" s="21" t="n">
        <v>146.7</v>
      </c>
      <c r="E67" s="22" t="n">
        <v>0.205</v>
      </c>
    </row>
    <row r="68">
      <c r="A68" s="14" t="inlineStr">
        <is>
          <t>H002</t>
        </is>
      </c>
      <c r="B68" s="14" t="inlineStr">
        <is>
          <t>Condo</t>
        </is>
      </c>
      <c r="C68" s="14" t="inlineStr">
        <is>
          <t>2025-07</t>
        </is>
      </c>
      <c r="D68" s="21" t="n">
        <v>166.1</v>
      </c>
      <c r="E68" s="22" t="n">
        <v>0.225</v>
      </c>
    </row>
    <row r="69">
      <c r="A69" s="14" t="inlineStr">
        <is>
          <t>H002</t>
        </is>
      </c>
      <c r="B69" s="14" t="inlineStr">
        <is>
          <t>Condo</t>
        </is>
      </c>
      <c r="C69" s="14" t="inlineStr">
        <is>
          <t>2025-08</t>
        </is>
      </c>
      <c r="D69" s="21" t="n">
        <v>157.4</v>
      </c>
      <c r="E69" s="22" t="n">
        <v>0.212</v>
      </c>
    </row>
    <row r="70">
      <c r="A70" s="14" t="inlineStr">
        <is>
          <t>H002</t>
        </is>
      </c>
      <c r="B70" s="14" t="inlineStr">
        <is>
          <t>Condo</t>
        </is>
      </c>
      <c r="C70" s="14" t="inlineStr">
        <is>
          <t>2025-09</t>
        </is>
      </c>
      <c r="D70" s="21" t="n">
        <v>145</v>
      </c>
      <c r="E70" s="22" t="n">
        <v>0.202</v>
      </c>
    </row>
    <row r="71">
      <c r="A71" s="14" t="inlineStr">
        <is>
          <t>H002</t>
        </is>
      </c>
      <c r="B71" s="14" t="inlineStr">
        <is>
          <t>Condo</t>
        </is>
      </c>
      <c r="C71" s="14" t="inlineStr">
        <is>
          <t>2025-10</t>
        </is>
      </c>
      <c r="D71" s="21" t="n">
        <v>190.1</v>
      </c>
      <c r="E71" s="22" t="n">
        <v>0.258</v>
      </c>
    </row>
    <row r="72">
      <c r="A72" s="14" t="inlineStr">
        <is>
          <t>H002</t>
        </is>
      </c>
      <c r="B72" s="14" t="inlineStr">
        <is>
          <t>Condo</t>
        </is>
      </c>
      <c r="C72" s="14" t="inlineStr">
        <is>
          <t>2025-11</t>
        </is>
      </c>
      <c r="D72" s="21" t="n">
        <v>250.4</v>
      </c>
      <c r="E72" s="22" t="n">
        <v>0.352</v>
      </c>
    </row>
    <row r="73">
      <c r="A73" s="14" t="inlineStr">
        <is>
          <t>H002</t>
        </is>
      </c>
      <c r="B73" s="14" t="inlineStr">
        <is>
          <t>Condo</t>
        </is>
      </c>
      <c r="C73" s="14" t="inlineStr">
        <is>
          <t>2025-12</t>
        </is>
      </c>
      <c r="D73" s="21" t="n">
        <v>311.9</v>
      </c>
      <c r="E73" s="22" t="n">
        <v>0.423</v>
      </c>
    </row>
    <row r="74">
      <c r="A74" s="14" t="inlineStr">
        <is>
          <t>H003</t>
        </is>
      </c>
      <c r="B74" s="14" t="inlineStr">
        <is>
          <t>Townhouse</t>
        </is>
      </c>
      <c r="C74" s="14" t="inlineStr">
        <is>
          <t>2023-01</t>
        </is>
      </c>
      <c r="D74" s="21" t="n">
        <v>805.3</v>
      </c>
      <c r="E74" s="22" t="n">
        <v>1.096</v>
      </c>
    </row>
    <row r="75">
      <c r="A75" s="14" t="inlineStr">
        <is>
          <t>H003</t>
        </is>
      </c>
      <c r="B75" s="14" t="inlineStr">
        <is>
          <t>Townhouse</t>
        </is>
      </c>
      <c r="C75" s="14" t="inlineStr">
        <is>
          <t>2023-02</t>
        </is>
      </c>
      <c r="D75" s="21" t="n">
        <v>701</v>
      </c>
      <c r="E75" s="22" t="n">
        <v>1.048</v>
      </c>
    </row>
    <row r="76">
      <c r="A76" s="14" t="inlineStr">
        <is>
          <t>H003</t>
        </is>
      </c>
      <c r="B76" s="14" t="inlineStr">
        <is>
          <t>Townhouse</t>
        </is>
      </c>
      <c r="C76" s="14" t="inlineStr">
        <is>
          <t>2023-03</t>
        </is>
      </c>
      <c r="D76" s="21" t="n">
        <v>661.5</v>
      </c>
      <c r="E76" s="22" t="n">
        <v>0.892</v>
      </c>
    </row>
    <row r="77">
      <c r="A77" s="14" t="inlineStr">
        <is>
          <t>H003</t>
        </is>
      </c>
      <c r="B77" s="14" t="inlineStr">
        <is>
          <t>Townhouse</t>
        </is>
      </c>
      <c r="C77" s="14" t="inlineStr">
        <is>
          <t>2023-04</t>
        </is>
      </c>
      <c r="D77" s="21" t="n">
        <v>466.2</v>
      </c>
      <c r="E77" s="22" t="n">
        <v>0.649</v>
      </c>
    </row>
    <row r="78">
      <c r="A78" s="14" t="inlineStr">
        <is>
          <t>H003</t>
        </is>
      </c>
      <c r="B78" s="14" t="inlineStr">
        <is>
          <t>Townhouse</t>
        </is>
      </c>
      <c r="C78" s="14" t="inlineStr">
        <is>
          <t>2023-05</t>
        </is>
      </c>
      <c r="D78" s="21" t="n">
        <v>341.1</v>
      </c>
      <c r="E78" s="22" t="n">
        <v>0.463</v>
      </c>
    </row>
    <row r="79">
      <c r="A79" s="14" t="inlineStr">
        <is>
          <t>H003</t>
        </is>
      </c>
      <c r="B79" s="14" t="inlineStr">
        <is>
          <t>Townhouse</t>
        </is>
      </c>
      <c r="C79" s="14" t="inlineStr">
        <is>
          <t>2023-06</t>
        </is>
      </c>
      <c r="D79" s="21" t="n">
        <v>313.4</v>
      </c>
      <c r="E79" s="22" t="n">
        <v>0.438</v>
      </c>
    </row>
    <row r="80">
      <c r="A80" s="14" t="inlineStr">
        <is>
          <t>H003</t>
        </is>
      </c>
      <c r="B80" s="14" t="inlineStr">
        <is>
          <t>Townhouse</t>
        </is>
      </c>
      <c r="C80" s="14" t="inlineStr">
        <is>
          <t>2023-07</t>
        </is>
      </c>
      <c r="D80" s="21" t="n">
        <v>355.8</v>
      </c>
      <c r="E80" s="22" t="n">
        <v>0.483</v>
      </c>
    </row>
    <row r="81">
      <c r="A81" s="14" t="inlineStr">
        <is>
          <t>H003</t>
        </is>
      </c>
      <c r="B81" s="14" t="inlineStr">
        <is>
          <t>Townhouse</t>
        </is>
      </c>
      <c r="C81" s="14" t="inlineStr">
        <is>
          <t>2023-08</t>
        </is>
      </c>
      <c r="D81" s="21" t="n">
        <v>335.6</v>
      </c>
      <c r="E81" s="22" t="n">
        <v>0.457</v>
      </c>
    </row>
    <row r="82">
      <c r="A82" s="14" t="inlineStr">
        <is>
          <t>H003</t>
        </is>
      </c>
      <c r="B82" s="14" t="inlineStr">
        <is>
          <t>Townhouse</t>
        </is>
      </c>
      <c r="C82" s="14" t="inlineStr">
        <is>
          <t>2023-09</t>
        </is>
      </c>
      <c r="D82" s="21" t="n">
        <v>317.6</v>
      </c>
      <c r="E82" s="22" t="n">
        <v>0.442</v>
      </c>
    </row>
    <row r="83">
      <c r="A83" s="14" t="inlineStr">
        <is>
          <t>H003</t>
        </is>
      </c>
      <c r="B83" s="14" t="inlineStr">
        <is>
          <t>Townhouse</t>
        </is>
      </c>
      <c r="C83" s="14" t="inlineStr">
        <is>
          <t>2023-10</t>
        </is>
      </c>
      <c r="D83" s="21" t="n">
        <v>435.7</v>
      </c>
      <c r="E83" s="22" t="n">
        <v>0.586</v>
      </c>
    </row>
    <row r="84">
      <c r="A84" s="14" t="inlineStr">
        <is>
          <t>H003</t>
        </is>
      </c>
      <c r="B84" s="14" t="inlineStr">
        <is>
          <t>Townhouse</t>
        </is>
      </c>
      <c r="C84" s="14" t="inlineStr">
        <is>
          <t>2023-11</t>
        </is>
      </c>
      <c r="D84" s="21" t="n">
        <v>597.2</v>
      </c>
      <c r="E84" s="22" t="n">
        <v>0.834</v>
      </c>
    </row>
    <row r="85">
      <c r="A85" s="14" t="inlineStr">
        <is>
          <t>H003</t>
        </is>
      </c>
      <c r="B85" s="14" t="inlineStr">
        <is>
          <t>Townhouse</t>
        </is>
      </c>
      <c r="C85" s="14" t="inlineStr">
        <is>
          <t>2023-12</t>
        </is>
      </c>
      <c r="D85" s="21" t="n">
        <v>746.2</v>
      </c>
      <c r="E85" s="22" t="n">
        <v>1.012</v>
      </c>
    </row>
    <row r="86">
      <c r="A86" s="14" t="inlineStr">
        <is>
          <t>H003</t>
        </is>
      </c>
      <c r="B86" s="14" t="inlineStr">
        <is>
          <t>Townhouse</t>
        </is>
      </c>
      <c r="C86" s="14" t="inlineStr">
        <is>
          <t>2024-01</t>
        </is>
      </c>
      <c r="D86" s="21" t="n">
        <v>809.8</v>
      </c>
      <c r="E86" s="22" t="n">
        <v>1.096</v>
      </c>
    </row>
    <row r="87">
      <c r="A87" s="14" t="inlineStr">
        <is>
          <t>H003</t>
        </is>
      </c>
      <c r="B87" s="14" t="inlineStr">
        <is>
          <t>Townhouse</t>
        </is>
      </c>
      <c r="C87" s="14" t="inlineStr">
        <is>
          <t>2024-02</t>
        </is>
      </c>
      <c r="D87" s="21" t="n">
        <v>725.8</v>
      </c>
      <c r="E87" s="22" t="n">
        <v>1.046</v>
      </c>
    </row>
    <row r="88">
      <c r="A88" s="14" t="inlineStr">
        <is>
          <t>H003</t>
        </is>
      </c>
      <c r="B88" s="14" t="inlineStr">
        <is>
          <t>Townhouse</t>
        </is>
      </c>
      <c r="C88" s="14" t="inlineStr">
        <is>
          <t>2024-03</t>
        </is>
      </c>
      <c r="D88" s="21" t="n">
        <v>650.3</v>
      </c>
      <c r="E88" s="22" t="n">
        <v>0.88</v>
      </c>
    </row>
    <row r="89">
      <c r="A89" s="14" t="inlineStr">
        <is>
          <t>H003</t>
        </is>
      </c>
      <c r="B89" s="14" t="inlineStr">
        <is>
          <t>Townhouse</t>
        </is>
      </c>
      <c r="C89" s="14" t="inlineStr">
        <is>
          <t>2024-04</t>
        </is>
      </c>
      <c r="D89" s="21" t="n">
        <v>458.4</v>
      </c>
      <c r="E89" s="22" t="n">
        <v>0.642</v>
      </c>
    </row>
    <row r="90">
      <c r="A90" s="14" t="inlineStr">
        <is>
          <t>H003</t>
        </is>
      </c>
      <c r="B90" s="14" t="inlineStr">
        <is>
          <t>Townhouse</t>
        </is>
      </c>
      <c r="C90" s="14" t="inlineStr">
        <is>
          <t>2024-05</t>
        </is>
      </c>
      <c r="D90" s="21" t="n">
        <v>336.8</v>
      </c>
      <c r="E90" s="22" t="n">
        <v>0.454</v>
      </c>
    </row>
    <row r="91">
      <c r="A91" s="14" t="inlineStr">
        <is>
          <t>H003</t>
        </is>
      </c>
      <c r="B91" s="14" t="inlineStr">
        <is>
          <t>Townhouse</t>
        </is>
      </c>
      <c r="C91" s="14" t="inlineStr">
        <is>
          <t>2024-06</t>
        </is>
      </c>
      <c r="D91" s="21" t="n">
        <v>318.2</v>
      </c>
      <c r="E91" s="22" t="n">
        <v>0.444</v>
      </c>
    </row>
    <row r="92">
      <c r="A92" s="14" t="inlineStr">
        <is>
          <t>H003</t>
        </is>
      </c>
      <c r="B92" s="14" t="inlineStr">
        <is>
          <t>Townhouse</t>
        </is>
      </c>
      <c r="C92" s="14" t="inlineStr">
        <is>
          <t>2024-07</t>
        </is>
      </c>
      <c r="D92" s="21" t="n">
        <v>355.5</v>
      </c>
      <c r="E92" s="22" t="n">
        <v>0.481</v>
      </c>
    </row>
    <row r="93">
      <c r="A93" s="14" t="inlineStr">
        <is>
          <t>H003</t>
        </is>
      </c>
      <c r="B93" s="14" t="inlineStr">
        <is>
          <t>Townhouse</t>
        </is>
      </c>
      <c r="C93" s="14" t="inlineStr">
        <is>
          <t>2024-08</t>
        </is>
      </c>
      <c r="D93" s="21" t="n">
        <v>334.8</v>
      </c>
      <c r="E93" s="22" t="n">
        <v>0.453</v>
      </c>
    </row>
    <row r="94">
      <c r="A94" s="14" t="inlineStr">
        <is>
          <t>H003</t>
        </is>
      </c>
      <c r="B94" s="14" t="inlineStr">
        <is>
          <t>Townhouse</t>
        </is>
      </c>
      <c r="C94" s="14" t="inlineStr">
        <is>
          <t>2024-09</t>
        </is>
      </c>
      <c r="D94" s="21" t="n">
        <v>319.2</v>
      </c>
      <c r="E94" s="22" t="n">
        <v>0.444</v>
      </c>
    </row>
    <row r="95">
      <c r="A95" s="14" t="inlineStr">
        <is>
          <t>H003</t>
        </is>
      </c>
      <c r="B95" s="14" t="inlineStr">
        <is>
          <t>Townhouse</t>
        </is>
      </c>
      <c r="C95" s="14" t="inlineStr">
        <is>
          <t>2024-10</t>
        </is>
      </c>
      <c r="D95" s="21" t="n">
        <v>435.3</v>
      </c>
      <c r="E95" s="22" t="n">
        <v>0.593</v>
      </c>
    </row>
    <row r="96">
      <c r="A96" s="14" t="inlineStr">
        <is>
          <t>H003</t>
        </is>
      </c>
      <c r="B96" s="14" t="inlineStr">
        <is>
          <t>Townhouse</t>
        </is>
      </c>
      <c r="C96" s="14" t="inlineStr">
        <is>
          <t>2024-11</t>
        </is>
      </c>
      <c r="D96" s="21" t="n">
        <v>597.2</v>
      </c>
      <c r="E96" s="22" t="n">
        <v>0.833</v>
      </c>
    </row>
    <row r="97">
      <c r="A97" s="14" t="inlineStr">
        <is>
          <t>H003</t>
        </is>
      </c>
      <c r="B97" s="14" t="inlineStr">
        <is>
          <t>Townhouse</t>
        </is>
      </c>
      <c r="C97" s="14" t="inlineStr">
        <is>
          <t>2024-12</t>
        </is>
      </c>
      <c r="D97" s="21" t="n">
        <v>743.5</v>
      </c>
      <c r="E97" s="22" t="n">
        <v>1.009</v>
      </c>
    </row>
    <row r="98">
      <c r="A98" s="14" t="inlineStr">
        <is>
          <t>H003</t>
        </is>
      </c>
      <c r="B98" s="14" t="inlineStr">
        <is>
          <t>Townhouse</t>
        </is>
      </c>
      <c r="C98" s="14" t="inlineStr">
        <is>
          <t>2025-01</t>
        </is>
      </c>
      <c r="D98" s="21" t="n">
        <v>801.6</v>
      </c>
      <c r="E98" s="22" t="n">
        <v>1.088</v>
      </c>
    </row>
    <row r="99">
      <c r="A99" s="14" t="inlineStr">
        <is>
          <t>H003</t>
        </is>
      </c>
      <c r="B99" s="14" t="inlineStr">
        <is>
          <t>Townhouse</t>
        </is>
      </c>
      <c r="C99" s="14" t="inlineStr">
        <is>
          <t>2025-02</t>
        </is>
      </c>
      <c r="D99" s="21" t="n">
        <v>696.5</v>
      </c>
      <c r="E99" s="22" t="n">
        <v>1.04</v>
      </c>
    </row>
    <row r="100">
      <c r="A100" s="14" t="inlineStr">
        <is>
          <t>H003</t>
        </is>
      </c>
      <c r="B100" s="14" t="inlineStr">
        <is>
          <t>Townhouse</t>
        </is>
      </c>
      <c r="C100" s="14" t="inlineStr">
        <is>
          <t>2025-03</t>
        </is>
      </c>
      <c r="D100" s="21" t="n">
        <v>651.7</v>
      </c>
      <c r="E100" s="22" t="n">
        <v>0.88</v>
      </c>
    </row>
    <row r="101">
      <c r="A101" s="14" t="inlineStr">
        <is>
          <t>H003</t>
        </is>
      </c>
      <c r="B101" s="14" t="inlineStr">
        <is>
          <t>Townhouse</t>
        </is>
      </c>
      <c r="C101" s="14" t="inlineStr">
        <is>
          <t>2025-04</t>
        </is>
      </c>
      <c r="D101" s="21" t="n">
        <v>457.4</v>
      </c>
      <c r="E101" s="22" t="n">
        <v>0.641</v>
      </c>
    </row>
    <row r="102">
      <c r="A102" s="14" t="inlineStr">
        <is>
          <t>H003</t>
        </is>
      </c>
      <c r="B102" s="14" t="inlineStr">
        <is>
          <t>Townhouse</t>
        </is>
      </c>
      <c r="C102" s="14" t="inlineStr">
        <is>
          <t>2025-05</t>
        </is>
      </c>
      <c r="D102" s="21" t="n">
        <v>342.2</v>
      </c>
      <c r="E102" s="22" t="n">
        <v>0.463</v>
      </c>
    </row>
    <row r="103">
      <c r="A103" s="14" t="inlineStr">
        <is>
          <t>H003</t>
        </is>
      </c>
      <c r="B103" s="14" t="inlineStr">
        <is>
          <t>Townhouse</t>
        </is>
      </c>
      <c r="C103" s="14" t="inlineStr">
        <is>
          <t>2025-06</t>
        </is>
      </c>
      <c r="D103" s="21" t="n">
        <v>315.4</v>
      </c>
      <c r="E103" s="22" t="n">
        <v>0.44</v>
      </c>
    </row>
    <row r="104">
      <c r="A104" s="14" t="inlineStr">
        <is>
          <t>H003</t>
        </is>
      </c>
      <c r="B104" s="14" t="inlineStr">
        <is>
          <t>Townhouse</t>
        </is>
      </c>
      <c r="C104" s="14" t="inlineStr">
        <is>
          <t>2025-07</t>
        </is>
      </c>
      <c r="D104" s="21" t="n">
        <v>351.5</v>
      </c>
      <c r="E104" s="22" t="n">
        <v>0.478</v>
      </c>
    </row>
    <row r="105">
      <c r="A105" s="14" t="inlineStr">
        <is>
          <t>H003</t>
        </is>
      </c>
      <c r="B105" s="14" t="inlineStr">
        <is>
          <t>Townhouse</t>
        </is>
      </c>
      <c r="C105" s="14" t="inlineStr">
        <is>
          <t>2025-08</t>
        </is>
      </c>
      <c r="D105" s="21" t="n">
        <v>335.2</v>
      </c>
      <c r="E105" s="22" t="n">
        <v>0.454</v>
      </c>
    </row>
    <row r="106">
      <c r="A106" s="14" t="inlineStr">
        <is>
          <t>H003</t>
        </is>
      </c>
      <c r="B106" s="14" t="inlineStr">
        <is>
          <t>Townhouse</t>
        </is>
      </c>
      <c r="C106" s="14" t="inlineStr">
        <is>
          <t>2025-09</t>
        </is>
      </c>
      <c r="D106" s="21" t="n">
        <v>314.8</v>
      </c>
      <c r="E106" s="22" t="n">
        <v>0.44</v>
      </c>
    </row>
    <row r="107">
      <c r="A107" s="14" t="inlineStr">
        <is>
          <t>H003</t>
        </is>
      </c>
      <c r="B107" s="14" t="inlineStr">
        <is>
          <t>Townhouse</t>
        </is>
      </c>
      <c r="C107" s="14" t="inlineStr">
        <is>
          <t>2025-10</t>
        </is>
      </c>
      <c r="D107" s="21" t="n">
        <v>428.8</v>
      </c>
      <c r="E107" s="22" t="n">
        <v>0.581</v>
      </c>
    </row>
    <row r="108">
      <c r="A108" s="14" t="inlineStr">
        <is>
          <t>H003</t>
        </is>
      </c>
      <c r="B108" s="14" t="inlineStr">
        <is>
          <t>Townhouse</t>
        </is>
      </c>
      <c r="C108" s="14" t="inlineStr">
        <is>
          <t>2025-11</t>
        </is>
      </c>
      <c r="D108" s="21" t="n">
        <v>591.8</v>
      </c>
      <c r="E108" s="22" t="n">
        <v>0.827</v>
      </c>
    </row>
    <row r="109">
      <c r="A109" s="14" t="inlineStr">
        <is>
          <t>H003</t>
        </is>
      </c>
      <c r="B109" s="14" t="inlineStr">
        <is>
          <t>Townhouse</t>
        </is>
      </c>
      <c r="C109" s="14" t="inlineStr">
        <is>
          <t>2025-12</t>
        </is>
      </c>
      <c r="D109" s="21" t="n">
        <v>745.7</v>
      </c>
      <c r="E109" s="22" t="n">
        <v>1.01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20" t="inlineStr">
        <is>
          <t>household_id</t>
        </is>
      </c>
      <c r="B1" s="20" t="inlineStr">
        <is>
          <t>day_type</t>
        </is>
      </c>
      <c r="C1" s="20" t="inlineStr">
        <is>
          <t>hour</t>
        </is>
      </c>
      <c r="D1" s="20" t="inlineStr">
        <is>
          <t>avg_kwh</t>
        </is>
      </c>
    </row>
    <row r="2">
      <c r="A2" s="14" t="inlineStr">
        <is>
          <t>H001</t>
        </is>
      </c>
      <c r="B2" s="14" t="inlineStr">
        <is>
          <t>Weekday</t>
        </is>
      </c>
      <c r="C2" s="14" t="n">
        <v>0</v>
      </c>
      <c r="D2" s="22" t="n">
        <v>1.767</v>
      </c>
    </row>
    <row r="3">
      <c r="A3" s="14" t="inlineStr">
        <is>
          <t>H001</t>
        </is>
      </c>
      <c r="B3" s="14" t="inlineStr">
        <is>
          <t>Weekday</t>
        </is>
      </c>
      <c r="C3" s="14" t="n">
        <v>1</v>
      </c>
      <c r="D3" s="22" t="n">
        <v>1.787</v>
      </c>
    </row>
    <row r="4">
      <c r="A4" s="14" t="inlineStr">
        <is>
          <t>H001</t>
        </is>
      </c>
      <c r="B4" s="14" t="inlineStr">
        <is>
          <t>Weekday</t>
        </is>
      </c>
      <c r="C4" s="14" t="n">
        <v>2</v>
      </c>
      <c r="D4" s="22" t="n">
        <v>1.806</v>
      </c>
    </row>
    <row r="5">
      <c r="A5" s="14" t="inlineStr">
        <is>
          <t>H001</t>
        </is>
      </c>
      <c r="B5" s="14" t="inlineStr">
        <is>
          <t>Weekday</t>
        </is>
      </c>
      <c r="C5" s="14" t="n">
        <v>3</v>
      </c>
      <c r="D5" s="22" t="n">
        <v>1.814</v>
      </c>
    </row>
    <row r="6">
      <c r="A6" s="14" t="inlineStr">
        <is>
          <t>H001</t>
        </is>
      </c>
      <c r="B6" s="14" t="inlineStr">
        <is>
          <t>Weekday</t>
        </is>
      </c>
      <c r="C6" s="14" t="n">
        <v>4</v>
      </c>
      <c r="D6" s="22" t="n">
        <v>0.92</v>
      </c>
    </row>
    <row r="7">
      <c r="A7" s="14" t="inlineStr">
        <is>
          <t>H001</t>
        </is>
      </c>
      <c r="B7" s="14" t="inlineStr">
        <is>
          <t>Weekday</t>
        </is>
      </c>
      <c r="C7" s="14" t="n">
        <v>5</v>
      </c>
      <c r="D7" s="22" t="n">
        <v>0.9350000000000001</v>
      </c>
    </row>
    <row r="8">
      <c r="A8" s="14" t="inlineStr">
        <is>
          <t>H001</t>
        </is>
      </c>
      <c r="B8" s="14" t="inlineStr">
        <is>
          <t>Weekday</t>
        </is>
      </c>
      <c r="C8" s="14" t="n">
        <v>6</v>
      </c>
      <c r="D8" s="22" t="n">
        <v>1.146</v>
      </c>
    </row>
    <row r="9">
      <c r="A9" s="14" t="inlineStr">
        <is>
          <t>H001</t>
        </is>
      </c>
      <c r="B9" s="14" t="inlineStr">
        <is>
          <t>Weekday</t>
        </is>
      </c>
      <c r="C9" s="14" t="n">
        <v>7</v>
      </c>
      <c r="D9" s="22" t="n">
        <v>1.191</v>
      </c>
    </row>
    <row r="10">
      <c r="A10" s="14" t="inlineStr">
        <is>
          <t>H001</t>
        </is>
      </c>
      <c r="B10" s="14" t="inlineStr">
        <is>
          <t>Weekday</t>
        </is>
      </c>
      <c r="C10" s="14" t="n">
        <v>8</v>
      </c>
      <c r="D10" s="22" t="n">
        <v>1.173</v>
      </c>
    </row>
    <row r="11">
      <c r="A11" s="14" t="inlineStr">
        <is>
          <t>H001</t>
        </is>
      </c>
      <c r="B11" s="14" t="inlineStr">
        <is>
          <t>Weekday</t>
        </is>
      </c>
      <c r="C11" s="14" t="n">
        <v>9</v>
      </c>
      <c r="D11" s="22" t="n">
        <v>1.049</v>
      </c>
    </row>
    <row r="12">
      <c r="A12" s="14" t="inlineStr">
        <is>
          <t>H001</t>
        </is>
      </c>
      <c r="B12" s="14" t="inlineStr">
        <is>
          <t>Weekday</t>
        </is>
      </c>
      <c r="C12" s="14" t="n">
        <v>10</v>
      </c>
      <c r="D12" s="22" t="n">
        <v>0.9389999999999999</v>
      </c>
    </row>
    <row r="13">
      <c r="A13" s="14" t="inlineStr">
        <is>
          <t>H001</t>
        </is>
      </c>
      <c r="B13" s="14" t="inlineStr">
        <is>
          <t>Weekday</t>
        </is>
      </c>
      <c r="C13" s="14" t="n">
        <v>11</v>
      </c>
      <c r="D13" s="22" t="n">
        <v>0.877</v>
      </c>
    </row>
    <row r="14">
      <c r="A14" s="14" t="inlineStr">
        <is>
          <t>H001</t>
        </is>
      </c>
      <c r="B14" s="14" t="inlineStr">
        <is>
          <t>Weekday</t>
        </is>
      </c>
      <c r="C14" s="14" t="n">
        <v>12</v>
      </c>
      <c r="D14" s="22" t="n">
        <v>0.838</v>
      </c>
    </row>
    <row r="15">
      <c r="A15" s="14" t="inlineStr">
        <is>
          <t>H001</t>
        </is>
      </c>
      <c r="B15" s="14" t="inlineStr">
        <is>
          <t>Weekday</t>
        </is>
      </c>
      <c r="C15" s="14" t="n">
        <v>13</v>
      </c>
      <c r="D15" s="22" t="n">
        <v>0.843</v>
      </c>
    </row>
    <row r="16">
      <c r="A16" s="14" t="inlineStr">
        <is>
          <t>H001</t>
        </is>
      </c>
      <c r="B16" s="14" t="inlineStr">
        <is>
          <t>Weekday</t>
        </is>
      </c>
      <c r="C16" s="14" t="n">
        <v>14</v>
      </c>
      <c r="D16" s="22" t="n">
        <v>0.867</v>
      </c>
    </row>
    <row r="17">
      <c r="A17" s="14" t="inlineStr">
        <is>
          <t>H001</t>
        </is>
      </c>
      <c r="B17" s="14" t="inlineStr">
        <is>
          <t>Weekday</t>
        </is>
      </c>
      <c r="C17" s="14" t="n">
        <v>15</v>
      </c>
      <c r="D17" s="22" t="n">
        <v>0.927</v>
      </c>
    </row>
    <row r="18">
      <c r="A18" s="14" t="inlineStr">
        <is>
          <t>H001</t>
        </is>
      </c>
      <c r="B18" s="14" t="inlineStr">
        <is>
          <t>Weekday</t>
        </is>
      </c>
      <c r="C18" s="14" t="n">
        <v>16</v>
      </c>
      <c r="D18" s="22" t="n">
        <v>1.056</v>
      </c>
    </row>
    <row r="19">
      <c r="A19" s="14" t="inlineStr">
        <is>
          <t>H001</t>
        </is>
      </c>
      <c r="B19" s="14" t="inlineStr">
        <is>
          <t>Weekday</t>
        </is>
      </c>
      <c r="C19" s="14" t="n">
        <v>17</v>
      </c>
      <c r="D19" s="22" t="n">
        <v>1.214</v>
      </c>
    </row>
    <row r="20">
      <c r="A20" s="14" t="inlineStr">
        <is>
          <t>H001</t>
        </is>
      </c>
      <c r="B20" s="14" t="inlineStr">
        <is>
          <t>Weekday</t>
        </is>
      </c>
      <c r="C20" s="14" t="n">
        <v>18</v>
      </c>
      <c r="D20" s="22" t="n">
        <v>1.363</v>
      </c>
    </row>
    <row r="21">
      <c r="A21" s="14" t="inlineStr">
        <is>
          <t>H001</t>
        </is>
      </c>
      <c r="B21" s="14" t="inlineStr">
        <is>
          <t>Weekday</t>
        </is>
      </c>
      <c r="C21" s="14" t="n">
        <v>19</v>
      </c>
      <c r="D21" s="22" t="n">
        <v>1.435</v>
      </c>
    </row>
    <row r="22">
      <c r="A22" s="14" t="inlineStr">
        <is>
          <t>H001</t>
        </is>
      </c>
      <c r="B22" s="14" t="inlineStr">
        <is>
          <t>Weekday</t>
        </is>
      </c>
      <c r="C22" s="14" t="n">
        <v>20</v>
      </c>
      <c r="D22" s="22" t="n">
        <v>1.398</v>
      </c>
    </row>
    <row r="23">
      <c r="A23" s="14" t="inlineStr">
        <is>
          <t>H001</t>
        </is>
      </c>
      <c r="B23" s="14" t="inlineStr">
        <is>
          <t>Weekday</t>
        </is>
      </c>
      <c r="C23" s="14" t="n">
        <v>21</v>
      </c>
      <c r="D23" s="22" t="n">
        <v>1.284</v>
      </c>
    </row>
    <row r="24">
      <c r="A24" s="14" t="inlineStr">
        <is>
          <t>H001</t>
        </is>
      </c>
      <c r="B24" s="14" t="inlineStr">
        <is>
          <t>Weekday</t>
        </is>
      </c>
      <c r="C24" s="14" t="n">
        <v>22</v>
      </c>
      <c r="D24" s="22" t="n">
        <v>1.158</v>
      </c>
    </row>
    <row r="25">
      <c r="A25" s="14" t="inlineStr">
        <is>
          <t>H001</t>
        </is>
      </c>
      <c r="B25" s="14" t="inlineStr">
        <is>
          <t>Weekday</t>
        </is>
      </c>
      <c r="C25" s="14" t="n">
        <v>23</v>
      </c>
      <c r="D25" s="22" t="n">
        <v>1.98</v>
      </c>
    </row>
    <row r="26">
      <c r="A26" s="14" t="inlineStr">
        <is>
          <t>H001</t>
        </is>
      </c>
      <c r="B26" s="14" t="inlineStr">
        <is>
          <t>Weekend</t>
        </is>
      </c>
      <c r="C26" s="14" t="n">
        <v>0</v>
      </c>
      <c r="D26" s="22" t="n">
        <v>1.895</v>
      </c>
    </row>
    <row r="27">
      <c r="A27" s="14" t="inlineStr">
        <is>
          <t>H001</t>
        </is>
      </c>
      <c r="B27" s="14" t="inlineStr">
        <is>
          <t>Weekend</t>
        </is>
      </c>
      <c r="C27" s="14" t="n">
        <v>1</v>
      </c>
      <c r="D27" s="22" t="n">
        <v>1.909</v>
      </c>
    </row>
    <row r="28">
      <c r="A28" s="14" t="inlineStr">
        <is>
          <t>H001</t>
        </is>
      </c>
      <c r="B28" s="14" t="inlineStr">
        <is>
          <t>Weekend</t>
        </is>
      </c>
      <c r="C28" s="14" t="n">
        <v>2</v>
      </c>
      <c r="D28" s="22" t="n">
        <v>1.926</v>
      </c>
    </row>
    <row r="29">
      <c r="A29" s="14" t="inlineStr">
        <is>
          <t>H001</t>
        </is>
      </c>
      <c r="B29" s="14" t="inlineStr">
        <is>
          <t>Weekend</t>
        </is>
      </c>
      <c r="C29" s="14" t="n">
        <v>3</v>
      </c>
      <c r="D29" s="22" t="n">
        <v>1.949</v>
      </c>
    </row>
    <row r="30">
      <c r="A30" s="14" t="inlineStr">
        <is>
          <t>H001</t>
        </is>
      </c>
      <c r="B30" s="14" t="inlineStr">
        <is>
          <t>Weekend</t>
        </is>
      </c>
      <c r="C30" s="14" t="n">
        <v>4</v>
      </c>
      <c r="D30" s="22" t="n">
        <v>1.041</v>
      </c>
    </row>
    <row r="31">
      <c r="A31" s="14" t="inlineStr">
        <is>
          <t>H001</t>
        </is>
      </c>
      <c r="B31" s="14" t="inlineStr">
        <is>
          <t>Weekend</t>
        </is>
      </c>
      <c r="C31" s="14" t="n">
        <v>5</v>
      </c>
      <c r="D31" s="22" t="n">
        <v>1.039</v>
      </c>
    </row>
    <row r="32">
      <c r="A32" s="14" t="inlineStr">
        <is>
          <t>H001</t>
        </is>
      </c>
      <c r="B32" s="14" t="inlineStr">
        <is>
          <t>Weekend</t>
        </is>
      </c>
      <c r="C32" s="14" t="n">
        <v>6</v>
      </c>
      <c r="D32" s="22" t="n">
        <v>1.056</v>
      </c>
    </row>
    <row r="33">
      <c r="A33" s="14" t="inlineStr">
        <is>
          <t>H001</t>
        </is>
      </c>
      <c r="B33" s="14" t="inlineStr">
        <is>
          <t>Weekend</t>
        </is>
      </c>
      <c r="C33" s="14" t="n">
        <v>7</v>
      </c>
      <c r="D33" s="22" t="n">
        <v>1.055</v>
      </c>
    </row>
    <row r="34">
      <c r="A34" s="14" t="inlineStr">
        <is>
          <t>H001</t>
        </is>
      </c>
      <c r="B34" s="14" t="inlineStr">
        <is>
          <t>Weekend</t>
        </is>
      </c>
      <c r="C34" s="14" t="n">
        <v>8</v>
      </c>
      <c r="D34" s="22" t="n">
        <v>1.022</v>
      </c>
    </row>
    <row r="35">
      <c r="A35" s="14" t="inlineStr">
        <is>
          <t>H001</t>
        </is>
      </c>
      <c r="B35" s="14" t="inlineStr">
        <is>
          <t>Weekend</t>
        </is>
      </c>
      <c r="C35" s="14" t="n">
        <v>9</v>
      </c>
      <c r="D35" s="22" t="n">
        <v>0.947</v>
      </c>
    </row>
    <row r="36">
      <c r="A36" s="14" t="inlineStr">
        <is>
          <t>H001</t>
        </is>
      </c>
      <c r="B36" s="14" t="inlineStr">
        <is>
          <t>Weekend</t>
        </is>
      </c>
      <c r="C36" s="14" t="n">
        <v>10</v>
      </c>
      <c r="D36" s="22" t="n">
        <v>0.904</v>
      </c>
    </row>
    <row r="37">
      <c r="A37" s="14" t="inlineStr">
        <is>
          <t>H001</t>
        </is>
      </c>
      <c r="B37" s="14" t="inlineStr">
        <is>
          <t>Weekend</t>
        </is>
      </c>
      <c r="C37" s="14" t="n">
        <v>11</v>
      </c>
      <c r="D37" s="22" t="n">
        <v>1.018</v>
      </c>
    </row>
    <row r="38">
      <c r="A38" s="14" t="inlineStr">
        <is>
          <t>H001</t>
        </is>
      </c>
      <c r="B38" s="14" t="inlineStr">
        <is>
          <t>Weekend</t>
        </is>
      </c>
      <c r="C38" s="14" t="n">
        <v>12</v>
      </c>
      <c r="D38" s="22" t="n">
        <v>1.002</v>
      </c>
    </row>
    <row r="39">
      <c r="A39" s="14" t="inlineStr">
        <is>
          <t>H001</t>
        </is>
      </c>
      <c r="B39" s="14" t="inlineStr">
        <is>
          <t>Weekend</t>
        </is>
      </c>
      <c r="C39" s="14" t="n">
        <v>13</v>
      </c>
      <c r="D39" s="22" t="n">
        <v>0.987</v>
      </c>
    </row>
    <row r="40">
      <c r="A40" s="14" t="inlineStr">
        <is>
          <t>H001</t>
        </is>
      </c>
      <c r="B40" s="14" t="inlineStr">
        <is>
          <t>Weekend</t>
        </is>
      </c>
      <c r="C40" s="14" t="n">
        <v>14</v>
      </c>
      <c r="D40" s="22" t="n">
        <v>1.014</v>
      </c>
    </row>
    <row r="41">
      <c r="A41" s="14" t="inlineStr">
        <is>
          <t>H001</t>
        </is>
      </c>
      <c r="B41" s="14" t="inlineStr">
        <is>
          <t>Weekend</t>
        </is>
      </c>
      <c r="C41" s="14" t="n">
        <v>15</v>
      </c>
      <c r="D41" s="22" t="n">
        <v>1.085</v>
      </c>
    </row>
    <row r="42">
      <c r="A42" s="14" t="inlineStr">
        <is>
          <t>H001</t>
        </is>
      </c>
      <c r="B42" s="14" t="inlineStr">
        <is>
          <t>Weekend</t>
        </is>
      </c>
      <c r="C42" s="14" t="n">
        <v>16</v>
      </c>
      <c r="D42" s="22" t="n">
        <v>1.204</v>
      </c>
    </row>
    <row r="43">
      <c r="A43" s="14" t="inlineStr">
        <is>
          <t>H001</t>
        </is>
      </c>
      <c r="B43" s="14" t="inlineStr">
        <is>
          <t>Weekend</t>
        </is>
      </c>
      <c r="C43" s="14" t="n">
        <v>17</v>
      </c>
      <c r="D43" s="22" t="n">
        <v>1.206</v>
      </c>
    </row>
    <row r="44">
      <c r="A44" s="14" t="inlineStr">
        <is>
          <t>H001</t>
        </is>
      </c>
      <c r="B44" s="14" t="inlineStr">
        <is>
          <t>Weekend</t>
        </is>
      </c>
      <c r="C44" s="14" t="n">
        <v>18</v>
      </c>
      <c r="D44" s="22" t="n">
        <v>1.359</v>
      </c>
    </row>
    <row r="45">
      <c r="A45" s="14" t="inlineStr">
        <is>
          <t>H001</t>
        </is>
      </c>
      <c r="B45" s="14" t="inlineStr">
        <is>
          <t>Weekend</t>
        </is>
      </c>
      <c r="C45" s="14" t="n">
        <v>19</v>
      </c>
      <c r="D45" s="22" t="n">
        <v>1.439</v>
      </c>
    </row>
    <row r="46">
      <c r="A46" s="14" t="inlineStr">
        <is>
          <t>H001</t>
        </is>
      </c>
      <c r="B46" s="14" t="inlineStr">
        <is>
          <t>Weekend</t>
        </is>
      </c>
      <c r="C46" s="14" t="n">
        <v>20</v>
      </c>
      <c r="D46" s="22" t="n">
        <v>1.398</v>
      </c>
    </row>
    <row r="47">
      <c r="A47" s="14" t="inlineStr">
        <is>
          <t>H001</t>
        </is>
      </c>
      <c r="B47" s="14" t="inlineStr">
        <is>
          <t>Weekend</t>
        </is>
      </c>
      <c r="C47" s="14" t="n">
        <v>21</v>
      </c>
      <c r="D47" s="22" t="n">
        <v>1.286</v>
      </c>
    </row>
    <row r="48">
      <c r="A48" s="14" t="inlineStr">
        <is>
          <t>H001</t>
        </is>
      </c>
      <c r="B48" s="14" t="inlineStr">
        <is>
          <t>Weekend</t>
        </is>
      </c>
      <c r="C48" s="14" t="n">
        <v>22</v>
      </c>
      <c r="D48" s="22" t="n">
        <v>1.165</v>
      </c>
    </row>
    <row r="49">
      <c r="A49" s="14" t="inlineStr">
        <is>
          <t>H001</t>
        </is>
      </c>
      <c r="B49" s="14" t="inlineStr">
        <is>
          <t>Weekend</t>
        </is>
      </c>
      <c r="C49" s="14" t="n">
        <v>23</v>
      </c>
      <c r="D49" s="22" t="n">
        <v>1.997</v>
      </c>
    </row>
    <row r="50">
      <c r="A50" s="14" t="inlineStr">
        <is>
          <t>H002</t>
        </is>
      </c>
      <c r="B50" s="14" t="inlineStr">
        <is>
          <t>Weekday</t>
        </is>
      </c>
      <c r="C50" s="14" t="n">
        <v>0</v>
      </c>
      <c r="D50" s="22" t="n">
        <v>0.243</v>
      </c>
    </row>
    <row r="51">
      <c r="A51" s="14" t="inlineStr">
        <is>
          <t>H002</t>
        </is>
      </c>
      <c r="B51" s="14" t="inlineStr">
        <is>
          <t>Weekday</t>
        </is>
      </c>
      <c r="C51" s="14" t="n">
        <v>1</v>
      </c>
      <c r="D51" s="22" t="n">
        <v>0.248</v>
      </c>
    </row>
    <row r="52">
      <c r="A52" s="14" t="inlineStr">
        <is>
          <t>H002</t>
        </is>
      </c>
      <c r="B52" s="14" t="inlineStr">
        <is>
          <t>Weekday</t>
        </is>
      </c>
      <c r="C52" s="14" t="n">
        <v>2</v>
      </c>
      <c r="D52" s="22" t="n">
        <v>0.255</v>
      </c>
    </row>
    <row r="53">
      <c r="A53" s="14" t="inlineStr">
        <is>
          <t>H002</t>
        </is>
      </c>
      <c r="B53" s="14" t="inlineStr">
        <is>
          <t>Weekday</t>
        </is>
      </c>
      <c r="C53" s="14" t="n">
        <v>3</v>
      </c>
      <c r="D53" s="22" t="n">
        <v>0.257</v>
      </c>
    </row>
    <row r="54">
      <c r="A54" s="14" t="inlineStr">
        <is>
          <t>H002</t>
        </is>
      </c>
      <c r="B54" s="14" t="inlineStr">
        <is>
          <t>Weekday</t>
        </is>
      </c>
      <c r="C54" s="14" t="n">
        <v>4</v>
      </c>
      <c r="D54" s="22" t="n">
        <v>0.261</v>
      </c>
    </row>
    <row r="55">
      <c r="A55" s="14" t="inlineStr">
        <is>
          <t>H002</t>
        </is>
      </c>
      <c r="B55" s="14" t="inlineStr">
        <is>
          <t>Weekday</t>
        </is>
      </c>
      <c r="C55" s="14" t="n">
        <v>5</v>
      </c>
      <c r="D55" s="22" t="n">
        <v>0.269</v>
      </c>
    </row>
    <row r="56">
      <c r="A56" s="14" t="inlineStr">
        <is>
          <t>H002</t>
        </is>
      </c>
      <c r="B56" s="14" t="inlineStr">
        <is>
          <t>Weekday</t>
        </is>
      </c>
      <c r="C56" s="14" t="n">
        <v>6</v>
      </c>
      <c r="D56" s="22" t="n">
        <v>0.331</v>
      </c>
    </row>
    <row r="57">
      <c r="A57" s="14" t="inlineStr">
        <is>
          <t>H002</t>
        </is>
      </c>
      <c r="B57" s="14" t="inlineStr">
        <is>
          <t>Weekday</t>
        </is>
      </c>
      <c r="C57" s="14" t="n">
        <v>7</v>
      </c>
      <c r="D57" s="22" t="n">
        <v>0.352</v>
      </c>
    </row>
    <row r="58">
      <c r="A58" s="14" t="inlineStr">
        <is>
          <t>H002</t>
        </is>
      </c>
      <c r="B58" s="14" t="inlineStr">
        <is>
          <t>Weekday</t>
        </is>
      </c>
      <c r="C58" s="14" t="n">
        <v>8</v>
      </c>
      <c r="D58" s="22" t="n">
        <v>0.346</v>
      </c>
    </row>
    <row r="59">
      <c r="A59" s="14" t="inlineStr">
        <is>
          <t>H002</t>
        </is>
      </c>
      <c r="B59" s="14" t="inlineStr">
        <is>
          <t>Weekday</t>
        </is>
      </c>
      <c r="C59" s="14" t="n">
        <v>9</v>
      </c>
      <c r="D59" s="22" t="n">
        <v>0.309</v>
      </c>
    </row>
    <row r="60">
      <c r="A60" s="14" t="inlineStr">
        <is>
          <t>H002</t>
        </is>
      </c>
      <c r="B60" s="14" t="inlineStr">
        <is>
          <t>Weekday</t>
        </is>
      </c>
      <c r="C60" s="14" t="n">
        <v>10</v>
      </c>
      <c r="D60" s="22" t="n">
        <v>0.279</v>
      </c>
    </row>
    <row r="61">
      <c r="A61" s="14" t="inlineStr">
        <is>
          <t>H002</t>
        </is>
      </c>
      <c r="B61" s="14" t="inlineStr">
        <is>
          <t>Weekday</t>
        </is>
      </c>
      <c r="C61" s="14" t="n">
        <v>11</v>
      </c>
      <c r="D61" s="22" t="n">
        <v>0.258</v>
      </c>
    </row>
    <row r="62">
      <c r="A62" s="14" t="inlineStr">
        <is>
          <t>H002</t>
        </is>
      </c>
      <c r="B62" s="14" t="inlineStr">
        <is>
          <t>Weekday</t>
        </is>
      </c>
      <c r="C62" s="14" t="n">
        <v>12</v>
      </c>
      <c r="D62" s="22" t="n">
        <v>0.249</v>
      </c>
    </row>
    <row r="63">
      <c r="A63" s="14" t="inlineStr">
        <is>
          <t>H002</t>
        </is>
      </c>
      <c r="B63" s="14" t="inlineStr">
        <is>
          <t>Weekday</t>
        </is>
      </c>
      <c r="C63" s="14" t="n">
        <v>13</v>
      </c>
      <c r="D63" s="22" t="n">
        <v>0.251</v>
      </c>
    </row>
    <row r="64">
      <c r="A64" s="14" t="inlineStr">
        <is>
          <t>H002</t>
        </is>
      </c>
      <c r="B64" s="14" t="inlineStr">
        <is>
          <t>Weekday</t>
        </is>
      </c>
      <c r="C64" s="14" t="n">
        <v>14</v>
      </c>
      <c r="D64" s="22" t="n">
        <v>0.259</v>
      </c>
    </row>
    <row r="65">
      <c r="A65" s="14" t="inlineStr">
        <is>
          <t>H002</t>
        </is>
      </c>
      <c r="B65" s="14" t="inlineStr">
        <is>
          <t>Weekday</t>
        </is>
      </c>
      <c r="C65" s="14" t="n">
        <v>15</v>
      </c>
      <c r="D65" s="22" t="n">
        <v>0.281</v>
      </c>
    </row>
    <row r="66">
      <c r="A66" s="14" t="inlineStr">
        <is>
          <t>H002</t>
        </is>
      </c>
      <c r="B66" s="14" t="inlineStr">
        <is>
          <t>Weekday</t>
        </is>
      </c>
      <c r="C66" s="14" t="n">
        <v>16</v>
      </c>
      <c r="D66" s="22" t="n">
        <v>0.317</v>
      </c>
    </row>
    <row r="67">
      <c r="A67" s="14" t="inlineStr">
        <is>
          <t>H002</t>
        </is>
      </c>
      <c r="B67" s="14" t="inlineStr">
        <is>
          <t>Weekday</t>
        </is>
      </c>
      <c r="C67" s="14" t="n">
        <v>17</v>
      </c>
      <c r="D67" s="22" t="n">
        <v>0.371</v>
      </c>
    </row>
    <row r="68">
      <c r="A68" s="14" t="inlineStr">
        <is>
          <t>H002</t>
        </is>
      </c>
      <c r="B68" s="14" t="inlineStr">
        <is>
          <t>Weekday</t>
        </is>
      </c>
      <c r="C68" s="14" t="n">
        <v>18</v>
      </c>
      <c r="D68" s="22" t="n">
        <v>0.415</v>
      </c>
    </row>
    <row r="69">
      <c r="A69" s="14" t="inlineStr">
        <is>
          <t>H002</t>
        </is>
      </c>
      <c r="B69" s="14" t="inlineStr">
        <is>
          <t>Weekday</t>
        </is>
      </c>
      <c r="C69" s="14" t="n">
        <v>19</v>
      </c>
      <c r="D69" s="22" t="n">
        <v>0.437</v>
      </c>
    </row>
    <row r="70">
      <c r="A70" s="14" t="inlineStr">
        <is>
          <t>H002</t>
        </is>
      </c>
      <c r="B70" s="14" t="inlineStr">
        <is>
          <t>Weekday</t>
        </is>
      </c>
      <c r="C70" s="14" t="n">
        <v>20</v>
      </c>
      <c r="D70" s="22" t="n">
        <v>0.422</v>
      </c>
    </row>
    <row r="71">
      <c r="A71" s="14" t="inlineStr">
        <is>
          <t>H002</t>
        </is>
      </c>
      <c r="B71" s="14" t="inlineStr">
        <is>
          <t>Weekday</t>
        </is>
      </c>
      <c r="C71" s="14" t="n">
        <v>21</v>
      </c>
      <c r="D71" s="22" t="n">
        <v>0.386</v>
      </c>
    </row>
    <row r="72">
      <c r="A72" s="14" t="inlineStr">
        <is>
          <t>H002</t>
        </is>
      </c>
      <c r="B72" s="14" t="inlineStr">
        <is>
          <t>Weekday</t>
        </is>
      </c>
      <c r="C72" s="14" t="n">
        <v>22</v>
      </c>
      <c r="D72" s="22" t="n">
        <v>0.345</v>
      </c>
    </row>
    <row r="73">
      <c r="A73" s="14" t="inlineStr">
        <is>
          <t>H002</t>
        </is>
      </c>
      <c r="B73" s="14" t="inlineStr">
        <is>
          <t>Weekday</t>
        </is>
      </c>
      <c r="C73" s="14" t="n">
        <v>23</v>
      </c>
      <c r="D73" s="22" t="n">
        <v>0.315</v>
      </c>
    </row>
    <row r="74">
      <c r="A74" s="14" t="inlineStr">
        <is>
          <t>H002</t>
        </is>
      </c>
      <c r="B74" s="14" t="inlineStr">
        <is>
          <t>Weekend</t>
        </is>
      </c>
      <c r="C74" s="14" t="n">
        <v>0</v>
      </c>
      <c r="D74" s="22" t="n">
        <v>0.288</v>
      </c>
    </row>
    <row r="75">
      <c r="A75" s="14" t="inlineStr">
        <is>
          <t>H002</t>
        </is>
      </c>
      <c r="B75" s="14" t="inlineStr">
        <is>
          <t>Weekend</t>
        </is>
      </c>
      <c r="C75" s="14" t="n">
        <v>1</v>
      </c>
      <c r="D75" s="22" t="n">
        <v>0.291</v>
      </c>
    </row>
    <row r="76">
      <c r="A76" s="14" t="inlineStr">
        <is>
          <t>H002</t>
        </is>
      </c>
      <c r="B76" s="14" t="inlineStr">
        <is>
          <t>Weekend</t>
        </is>
      </c>
      <c r="C76" s="14" t="n">
        <v>2</v>
      </c>
      <c r="D76" s="22" t="n">
        <v>0.294</v>
      </c>
    </row>
    <row r="77">
      <c r="A77" s="14" t="inlineStr">
        <is>
          <t>H002</t>
        </is>
      </c>
      <c r="B77" s="14" t="inlineStr">
        <is>
          <t>Weekend</t>
        </is>
      </c>
      <c r="C77" s="14" t="n">
        <v>3</v>
      </c>
      <c r="D77" s="22" t="n">
        <v>0.3</v>
      </c>
    </row>
    <row r="78">
      <c r="A78" s="14" t="inlineStr">
        <is>
          <t>H002</t>
        </is>
      </c>
      <c r="B78" s="14" t="inlineStr">
        <is>
          <t>Weekend</t>
        </is>
      </c>
      <c r="C78" s="14" t="n">
        <v>4</v>
      </c>
      <c r="D78" s="22" t="n">
        <v>0.303</v>
      </c>
    </row>
    <row r="79">
      <c r="A79" s="14" t="inlineStr">
        <is>
          <t>H002</t>
        </is>
      </c>
      <c r="B79" s="14" t="inlineStr">
        <is>
          <t>Weekend</t>
        </is>
      </c>
      <c r="C79" s="14" t="n">
        <v>5</v>
      </c>
      <c r="D79" s="22" t="n">
        <v>0.305</v>
      </c>
    </row>
    <row r="80">
      <c r="A80" s="14" t="inlineStr">
        <is>
          <t>H002</t>
        </is>
      </c>
      <c r="B80" s="14" t="inlineStr">
        <is>
          <t>Weekend</t>
        </is>
      </c>
      <c r="C80" s="14" t="n">
        <v>6</v>
      </c>
      <c r="D80" s="22" t="n">
        <v>0.304</v>
      </c>
    </row>
    <row r="81">
      <c r="A81" s="14" t="inlineStr">
        <is>
          <t>H002</t>
        </is>
      </c>
      <c r="B81" s="14" t="inlineStr">
        <is>
          <t>Weekend</t>
        </is>
      </c>
      <c r="C81" s="14" t="n">
        <v>7</v>
      </c>
      <c r="D81" s="22" t="n">
        <v>0.304</v>
      </c>
    </row>
    <row r="82">
      <c r="A82" s="14" t="inlineStr">
        <is>
          <t>H002</t>
        </is>
      </c>
      <c r="B82" s="14" t="inlineStr">
        <is>
          <t>Weekend</t>
        </is>
      </c>
      <c r="C82" s="14" t="n">
        <v>8</v>
      </c>
      <c r="D82" s="22" t="n">
        <v>0.303</v>
      </c>
    </row>
    <row r="83">
      <c r="A83" s="14" t="inlineStr">
        <is>
          <t>H002</t>
        </is>
      </c>
      <c r="B83" s="14" t="inlineStr">
        <is>
          <t>Weekend</t>
        </is>
      </c>
      <c r="C83" s="14" t="n">
        <v>9</v>
      </c>
      <c r="D83" s="22" t="n">
        <v>0.279</v>
      </c>
    </row>
    <row r="84">
      <c r="A84" s="14" t="inlineStr">
        <is>
          <t>H002</t>
        </is>
      </c>
      <c r="B84" s="14" t="inlineStr">
        <is>
          <t>Weekend</t>
        </is>
      </c>
      <c r="C84" s="14" t="n">
        <v>10</v>
      </c>
      <c r="D84" s="22" t="n">
        <v>0.264</v>
      </c>
    </row>
    <row r="85">
      <c r="A85" s="14" t="inlineStr">
        <is>
          <t>H002</t>
        </is>
      </c>
      <c r="B85" s="14" t="inlineStr">
        <is>
          <t>Weekend</t>
        </is>
      </c>
      <c r="C85" s="14" t="n">
        <v>11</v>
      </c>
      <c r="D85" s="22" t="n">
        <v>0.305</v>
      </c>
    </row>
    <row r="86">
      <c r="A86" s="14" t="inlineStr">
        <is>
          <t>H002</t>
        </is>
      </c>
      <c r="B86" s="14" t="inlineStr">
        <is>
          <t>Weekend</t>
        </is>
      </c>
      <c r="C86" s="14" t="n">
        <v>12</v>
      </c>
      <c r="D86" s="22" t="n">
        <v>0.3</v>
      </c>
    </row>
    <row r="87">
      <c r="A87" s="14" t="inlineStr">
        <is>
          <t>H002</t>
        </is>
      </c>
      <c r="B87" s="14" t="inlineStr">
        <is>
          <t>Weekend</t>
        </is>
      </c>
      <c r="C87" s="14" t="n">
        <v>13</v>
      </c>
      <c r="D87" s="22" t="n">
        <v>0.297</v>
      </c>
    </row>
    <row r="88">
      <c r="A88" s="14" t="inlineStr">
        <is>
          <t>H002</t>
        </is>
      </c>
      <c r="B88" s="14" t="inlineStr">
        <is>
          <t>Weekend</t>
        </is>
      </c>
      <c r="C88" s="14" t="n">
        <v>14</v>
      </c>
      <c r="D88" s="22" t="n">
        <v>0.31</v>
      </c>
    </row>
    <row r="89">
      <c r="A89" s="14" t="inlineStr">
        <is>
          <t>H002</t>
        </is>
      </c>
      <c r="B89" s="14" t="inlineStr">
        <is>
          <t>Weekend</t>
        </is>
      </c>
      <c r="C89" s="14" t="n">
        <v>15</v>
      </c>
      <c r="D89" s="22" t="n">
        <v>0.332</v>
      </c>
    </row>
    <row r="90">
      <c r="A90" s="14" t="inlineStr">
        <is>
          <t>H002</t>
        </is>
      </c>
      <c r="B90" s="14" t="inlineStr">
        <is>
          <t>Weekend</t>
        </is>
      </c>
      <c r="C90" s="14" t="n">
        <v>16</v>
      </c>
      <c r="D90" s="22" t="n">
        <v>0.368</v>
      </c>
    </row>
    <row r="91">
      <c r="A91" s="14" t="inlineStr">
        <is>
          <t>H002</t>
        </is>
      </c>
      <c r="B91" s="14" t="inlineStr">
        <is>
          <t>Weekend</t>
        </is>
      </c>
      <c r="C91" s="14" t="n">
        <v>17</v>
      </c>
      <c r="D91" s="22" t="n">
        <v>0.364</v>
      </c>
    </row>
    <row r="92">
      <c r="A92" s="14" t="inlineStr">
        <is>
          <t>H002</t>
        </is>
      </c>
      <c r="B92" s="14" t="inlineStr">
        <is>
          <t>Weekend</t>
        </is>
      </c>
      <c r="C92" s="14" t="n">
        <v>18</v>
      </c>
      <c r="D92" s="22" t="n">
        <v>0.416</v>
      </c>
    </row>
    <row r="93">
      <c r="A93" s="14" t="inlineStr">
        <is>
          <t>H002</t>
        </is>
      </c>
      <c r="B93" s="14" t="inlineStr">
        <is>
          <t>Weekend</t>
        </is>
      </c>
      <c r="C93" s="14" t="n">
        <v>19</v>
      </c>
      <c r="D93" s="22" t="n">
        <v>0.443</v>
      </c>
    </row>
    <row r="94">
      <c r="A94" s="14" t="inlineStr">
        <is>
          <t>H002</t>
        </is>
      </c>
      <c r="B94" s="14" t="inlineStr">
        <is>
          <t>Weekend</t>
        </is>
      </c>
      <c r="C94" s="14" t="n">
        <v>20</v>
      </c>
      <c r="D94" s="22" t="n">
        <v>0.424</v>
      </c>
    </row>
    <row r="95">
      <c r="A95" s="14" t="inlineStr">
        <is>
          <t>H002</t>
        </is>
      </c>
      <c r="B95" s="14" t="inlineStr">
        <is>
          <t>Weekend</t>
        </is>
      </c>
      <c r="C95" s="14" t="n">
        <v>21</v>
      </c>
      <c r="D95" s="22" t="n">
        <v>0.384</v>
      </c>
    </row>
    <row r="96">
      <c r="A96" s="14" t="inlineStr">
        <is>
          <t>H002</t>
        </is>
      </c>
      <c r="B96" s="14" t="inlineStr">
        <is>
          <t>Weekend</t>
        </is>
      </c>
      <c r="C96" s="14" t="n">
        <v>22</v>
      </c>
      <c r="D96" s="22" t="n">
        <v>0.344</v>
      </c>
    </row>
    <row r="97">
      <c r="A97" s="14" t="inlineStr">
        <is>
          <t>H002</t>
        </is>
      </c>
      <c r="B97" s="14" t="inlineStr">
        <is>
          <t>Weekend</t>
        </is>
      </c>
      <c r="C97" s="14" t="n">
        <v>23</v>
      </c>
      <c r="D97" s="22" t="n">
        <v>0.32</v>
      </c>
    </row>
    <row r="98">
      <c r="A98" s="14" t="inlineStr">
        <is>
          <t>H003</t>
        </is>
      </c>
      <c r="B98" s="14" t="inlineStr">
        <is>
          <t>Weekday</t>
        </is>
      </c>
      <c r="C98" s="14" t="n">
        <v>0</v>
      </c>
      <c r="D98" s="22" t="n">
        <v>0.5580000000000001</v>
      </c>
    </row>
    <row r="99">
      <c r="A99" s="14" t="inlineStr">
        <is>
          <t>H003</t>
        </is>
      </c>
      <c r="B99" s="14" t="inlineStr">
        <is>
          <t>Weekday</t>
        </is>
      </c>
      <c r="C99" s="14" t="n">
        <v>1</v>
      </c>
      <c r="D99" s="22" t="n">
        <v>0.57</v>
      </c>
    </row>
    <row r="100">
      <c r="A100" s="14" t="inlineStr">
        <is>
          <t>H003</t>
        </is>
      </c>
      <c r="B100" s="14" t="inlineStr">
        <is>
          <t>Weekday</t>
        </is>
      </c>
      <c r="C100" s="14" t="n">
        <v>2</v>
      </c>
      <c r="D100" s="22" t="n">
        <v>0.58</v>
      </c>
    </row>
    <row r="101">
      <c r="A101" s="14" t="inlineStr">
        <is>
          <t>H003</t>
        </is>
      </c>
      <c r="B101" s="14" t="inlineStr">
        <is>
          <t>Weekday</t>
        </is>
      </c>
      <c r="C101" s="14" t="n">
        <v>3</v>
      </c>
      <c r="D101" s="22" t="n">
        <v>0.59</v>
      </c>
    </row>
    <row r="102">
      <c r="A102" s="14" t="inlineStr">
        <is>
          <t>H003</t>
        </is>
      </c>
      <c r="B102" s="14" t="inlineStr">
        <is>
          <t>Weekday</t>
        </is>
      </c>
      <c r="C102" s="14" t="n">
        <v>4</v>
      </c>
      <c r="D102" s="22" t="n">
        <v>0.595</v>
      </c>
    </row>
    <row r="103">
      <c r="A103" s="14" t="inlineStr">
        <is>
          <t>H003</t>
        </is>
      </c>
      <c r="B103" s="14" t="inlineStr">
        <is>
          <t>Weekday</t>
        </is>
      </c>
      <c r="C103" s="14" t="n">
        <v>5</v>
      </c>
      <c r="D103" s="22" t="n">
        <v>0.606</v>
      </c>
    </row>
    <row r="104">
      <c r="A104" s="14" t="inlineStr">
        <is>
          <t>H003</t>
        </is>
      </c>
      <c r="B104" s="14" t="inlineStr">
        <is>
          <t>Weekday</t>
        </is>
      </c>
      <c r="C104" s="14" t="n">
        <v>6</v>
      </c>
      <c r="D104" s="22" t="n">
        <v>0.741</v>
      </c>
    </row>
    <row r="105">
      <c r="A105" s="14" t="inlineStr">
        <is>
          <t>H003</t>
        </is>
      </c>
      <c r="B105" s="14" t="inlineStr">
        <is>
          <t>Weekday</t>
        </is>
      </c>
      <c r="C105" s="14" t="n">
        <v>7</v>
      </c>
      <c r="D105" s="22" t="n">
        <v>0.779</v>
      </c>
    </row>
    <row r="106">
      <c r="A106" s="14" t="inlineStr">
        <is>
          <t>H003</t>
        </is>
      </c>
      <c r="B106" s="14" t="inlineStr">
        <is>
          <t>Weekday</t>
        </is>
      </c>
      <c r="C106" s="14" t="n">
        <v>8</v>
      </c>
      <c r="D106" s="22" t="n">
        <v>0.766</v>
      </c>
    </row>
    <row r="107">
      <c r="A107" s="14" t="inlineStr">
        <is>
          <t>H003</t>
        </is>
      </c>
      <c r="B107" s="14" t="inlineStr">
        <is>
          <t>Weekday</t>
        </is>
      </c>
      <c r="C107" s="14" t="n">
        <v>9</v>
      </c>
      <c r="D107" s="22" t="n">
        <v>0.6830000000000001</v>
      </c>
    </row>
    <row r="108">
      <c r="A108" s="14" t="inlineStr">
        <is>
          <t>H003</t>
        </is>
      </c>
      <c r="B108" s="14" t="inlineStr">
        <is>
          <t>Weekday</t>
        </is>
      </c>
      <c r="C108" s="14" t="n">
        <v>10</v>
      </c>
      <c r="D108" s="22" t="n">
        <v>0.616</v>
      </c>
    </row>
    <row r="109">
      <c r="A109" s="14" t="inlineStr">
        <is>
          <t>H003</t>
        </is>
      </c>
      <c r="B109" s="14" t="inlineStr">
        <is>
          <t>Weekday</t>
        </is>
      </c>
      <c r="C109" s="14" t="n">
        <v>11</v>
      </c>
      <c r="D109" s="22" t="n">
        <v>0.571</v>
      </c>
    </row>
    <row r="110">
      <c r="A110" s="14" t="inlineStr">
        <is>
          <t>H003</t>
        </is>
      </c>
      <c r="B110" s="14" t="inlineStr">
        <is>
          <t>Weekday</t>
        </is>
      </c>
      <c r="C110" s="14" t="n">
        <v>12</v>
      </c>
      <c r="D110" s="22" t="n">
        <v>0.552</v>
      </c>
    </row>
    <row r="111">
      <c r="A111" s="14" t="inlineStr">
        <is>
          <t>H003</t>
        </is>
      </c>
      <c r="B111" s="14" t="inlineStr">
        <is>
          <t>Weekday</t>
        </is>
      </c>
      <c r="C111" s="14" t="n">
        <v>13</v>
      </c>
      <c r="D111" s="22" t="n">
        <v>0.552</v>
      </c>
    </row>
    <row r="112">
      <c r="A112" s="14" t="inlineStr">
        <is>
          <t>H003</t>
        </is>
      </c>
      <c r="B112" s="14" t="inlineStr">
        <is>
          <t>Weekday</t>
        </is>
      </c>
      <c r="C112" s="14" t="n">
        <v>14</v>
      </c>
      <c r="D112" s="22" t="n">
        <v>0.5669999999999999</v>
      </c>
    </row>
    <row r="113">
      <c r="A113" s="14" t="inlineStr">
        <is>
          <t>H003</t>
        </is>
      </c>
      <c r="B113" s="14" t="inlineStr">
        <is>
          <t>Weekday</t>
        </is>
      </c>
      <c r="C113" s="14" t="n">
        <v>15</v>
      </c>
      <c r="D113" s="22" t="n">
        <v>0.613</v>
      </c>
    </row>
    <row r="114">
      <c r="A114" s="14" t="inlineStr">
        <is>
          <t>H003</t>
        </is>
      </c>
      <c r="B114" s="14" t="inlineStr">
        <is>
          <t>Weekday</t>
        </is>
      </c>
      <c r="C114" s="14" t="n">
        <v>16</v>
      </c>
      <c r="D114" s="22" t="n">
        <v>0.695</v>
      </c>
    </row>
    <row r="115">
      <c r="A115" s="14" t="inlineStr">
        <is>
          <t>H003</t>
        </is>
      </c>
      <c r="B115" s="14" t="inlineStr">
        <is>
          <t>Weekday</t>
        </is>
      </c>
      <c r="C115" s="14" t="n">
        <v>17</v>
      </c>
      <c r="D115" s="22" t="n">
        <v>0.797</v>
      </c>
    </row>
    <row r="116">
      <c r="A116" s="14" t="inlineStr">
        <is>
          <t>H003</t>
        </is>
      </c>
      <c r="B116" s="14" t="inlineStr">
        <is>
          <t>Weekday</t>
        </is>
      </c>
      <c r="C116" s="14" t="n">
        <v>18</v>
      </c>
      <c r="D116" s="22" t="n">
        <v>0.897</v>
      </c>
    </row>
    <row r="117">
      <c r="A117" s="14" t="inlineStr">
        <is>
          <t>H003</t>
        </is>
      </c>
      <c r="B117" s="14" t="inlineStr">
        <is>
          <t>Weekday</t>
        </is>
      </c>
      <c r="C117" s="14" t="n">
        <v>19</v>
      </c>
      <c r="D117" s="22" t="n">
        <v>0.947</v>
      </c>
    </row>
    <row r="118">
      <c r="A118" s="14" t="inlineStr">
        <is>
          <t>H003</t>
        </is>
      </c>
      <c r="B118" s="14" t="inlineStr">
        <is>
          <t>Weekday</t>
        </is>
      </c>
      <c r="C118" s="14" t="n">
        <v>20</v>
      </c>
      <c r="D118" s="22" t="n">
        <v>0.918</v>
      </c>
    </row>
    <row r="119">
      <c r="A119" s="14" t="inlineStr">
        <is>
          <t>H003</t>
        </is>
      </c>
      <c r="B119" s="14" t="inlineStr">
        <is>
          <t>Weekday</t>
        </is>
      </c>
      <c r="C119" s="14" t="n">
        <v>21</v>
      </c>
      <c r="D119" s="22" t="n">
        <v>0.844</v>
      </c>
    </row>
    <row r="120">
      <c r="A120" s="14" t="inlineStr">
        <is>
          <t>H003</t>
        </is>
      </c>
      <c r="B120" s="14" t="inlineStr">
        <is>
          <t>Weekday</t>
        </is>
      </c>
      <c r="C120" s="14" t="n">
        <v>22</v>
      </c>
      <c r="D120" s="22" t="n">
        <v>0.76</v>
      </c>
    </row>
    <row r="121">
      <c r="A121" s="14" t="inlineStr">
        <is>
          <t>H003</t>
        </is>
      </c>
      <c r="B121" s="14" t="inlineStr">
        <is>
          <t>Weekday</t>
        </is>
      </c>
      <c r="C121" s="14" t="n">
        <v>23</v>
      </c>
      <c r="D121" s="22" t="n">
        <v>0.701</v>
      </c>
    </row>
    <row r="122">
      <c r="A122" s="14" t="inlineStr">
        <is>
          <t>H003</t>
        </is>
      </c>
      <c r="B122" s="14" t="inlineStr">
        <is>
          <t>Weekend</t>
        </is>
      </c>
      <c r="C122" s="14" t="n">
        <v>0</v>
      </c>
      <c r="D122" s="22" t="n">
        <v>0.648</v>
      </c>
    </row>
    <row r="123">
      <c r="A123" s="14" t="inlineStr">
        <is>
          <t>H003</t>
        </is>
      </c>
      <c r="B123" s="14" t="inlineStr">
        <is>
          <t>Weekend</t>
        </is>
      </c>
      <c r="C123" s="14" t="n">
        <v>1</v>
      </c>
      <c r="D123" s="22" t="n">
        <v>0.662</v>
      </c>
    </row>
    <row r="124">
      <c r="A124" s="14" t="inlineStr">
        <is>
          <t>H003</t>
        </is>
      </c>
      <c r="B124" s="14" t="inlineStr">
        <is>
          <t>Weekend</t>
        </is>
      </c>
      <c r="C124" s="14" t="n">
        <v>2</v>
      </c>
      <c r="D124" s="22" t="n">
        <v>0.669</v>
      </c>
    </row>
    <row r="125">
      <c r="A125" s="14" t="inlineStr">
        <is>
          <t>H003</t>
        </is>
      </c>
      <c r="B125" s="14" t="inlineStr">
        <is>
          <t>Weekend</t>
        </is>
      </c>
      <c r="C125" s="14" t="n">
        <v>3</v>
      </c>
      <c r="D125" s="22" t="n">
        <v>0.679</v>
      </c>
    </row>
    <row r="126">
      <c r="A126" s="14" t="inlineStr">
        <is>
          <t>H003</t>
        </is>
      </c>
      <c r="B126" s="14" t="inlineStr">
        <is>
          <t>Weekend</t>
        </is>
      </c>
      <c r="C126" s="14" t="n">
        <v>4</v>
      </c>
      <c r="D126" s="22" t="n">
        <v>0.675</v>
      </c>
    </row>
    <row r="127">
      <c r="A127" s="14" t="inlineStr">
        <is>
          <t>H003</t>
        </is>
      </c>
      <c r="B127" s="14" t="inlineStr">
        <is>
          <t>Weekend</t>
        </is>
      </c>
      <c r="C127" s="14" t="n">
        <v>5</v>
      </c>
      <c r="D127" s="22" t="n">
        <v>0.674</v>
      </c>
    </row>
    <row r="128">
      <c r="A128" s="14" t="inlineStr">
        <is>
          <t>H003</t>
        </is>
      </c>
      <c r="B128" s="14" t="inlineStr">
        <is>
          <t>Weekend</t>
        </is>
      </c>
      <c r="C128" s="14" t="n">
        <v>6</v>
      </c>
      <c r="D128" s="22" t="n">
        <v>0.681</v>
      </c>
    </row>
    <row r="129">
      <c r="A129" s="14" t="inlineStr">
        <is>
          <t>H003</t>
        </is>
      </c>
      <c r="B129" s="14" t="inlineStr">
        <is>
          <t>Weekend</t>
        </is>
      </c>
      <c r="C129" s="14" t="n">
        <v>7</v>
      </c>
      <c r="D129" s="22" t="n">
        <v>0.6820000000000001</v>
      </c>
    </row>
    <row r="130">
      <c r="A130" s="14" t="inlineStr">
        <is>
          <t>H003</t>
        </is>
      </c>
      <c r="B130" s="14" t="inlineStr">
        <is>
          <t>Weekend</t>
        </is>
      </c>
      <c r="C130" s="14" t="n">
        <v>8</v>
      </c>
      <c r="D130" s="22" t="n">
        <v>0.66</v>
      </c>
    </row>
    <row r="131">
      <c r="A131" s="14" t="inlineStr">
        <is>
          <t>H003</t>
        </is>
      </c>
      <c r="B131" s="14" t="inlineStr">
        <is>
          <t>Weekend</t>
        </is>
      </c>
      <c r="C131" s="14" t="n">
        <v>9</v>
      </c>
      <c r="D131" s="22" t="n">
        <v>0.616</v>
      </c>
    </row>
    <row r="132">
      <c r="A132" s="14" t="inlineStr">
        <is>
          <t>H003</t>
        </is>
      </c>
      <c r="B132" s="14" t="inlineStr">
        <is>
          <t>Weekend</t>
        </is>
      </c>
      <c r="C132" s="14" t="n">
        <v>10</v>
      </c>
      <c r="D132" s="22" t="n">
        <v>0.581</v>
      </c>
    </row>
    <row r="133">
      <c r="A133" s="14" t="inlineStr">
        <is>
          <t>H003</t>
        </is>
      </c>
      <c r="B133" s="14" t="inlineStr">
        <is>
          <t>Weekend</t>
        </is>
      </c>
      <c r="C133" s="14" t="n">
        <v>11</v>
      </c>
      <c r="D133" s="22" t="n">
        <v>0.672</v>
      </c>
    </row>
    <row r="134">
      <c r="A134" s="14" t="inlineStr">
        <is>
          <t>H003</t>
        </is>
      </c>
      <c r="B134" s="14" t="inlineStr">
        <is>
          <t>Weekend</t>
        </is>
      </c>
      <c r="C134" s="14" t="n">
        <v>12</v>
      </c>
      <c r="D134" s="22" t="n">
        <v>0.656</v>
      </c>
    </row>
    <row r="135">
      <c r="A135" s="14" t="inlineStr">
        <is>
          <t>H003</t>
        </is>
      </c>
      <c r="B135" s="14" t="inlineStr">
        <is>
          <t>Weekend</t>
        </is>
      </c>
      <c r="C135" s="14" t="n">
        <v>13</v>
      </c>
      <c r="D135" s="22" t="n">
        <v>0.645</v>
      </c>
    </row>
    <row r="136">
      <c r="A136" s="14" t="inlineStr">
        <is>
          <t>H003</t>
        </is>
      </c>
      <c r="B136" s="14" t="inlineStr">
        <is>
          <t>Weekend</t>
        </is>
      </c>
      <c r="C136" s="14" t="n">
        <v>14</v>
      </c>
      <c r="D136" s="22" t="n">
        <v>0.669</v>
      </c>
    </row>
    <row r="137">
      <c r="A137" s="14" t="inlineStr">
        <is>
          <t>H003</t>
        </is>
      </c>
      <c r="B137" s="14" t="inlineStr">
        <is>
          <t>Weekend</t>
        </is>
      </c>
      <c r="C137" s="14" t="n">
        <v>15</v>
      </c>
      <c r="D137" s="22" t="n">
        <v>0.715</v>
      </c>
    </row>
    <row r="138">
      <c r="A138" s="14" t="inlineStr">
        <is>
          <t>H003</t>
        </is>
      </c>
      <c r="B138" s="14" t="inlineStr">
        <is>
          <t>Weekend</t>
        </is>
      </c>
      <c r="C138" s="14" t="n">
        <v>16</v>
      </c>
      <c r="D138" s="22" t="n">
        <v>0.796</v>
      </c>
    </row>
    <row r="139">
      <c r="A139" s="14" t="inlineStr">
        <is>
          <t>H003</t>
        </is>
      </c>
      <c r="B139" s="14" t="inlineStr">
        <is>
          <t>Weekend</t>
        </is>
      </c>
      <c r="C139" s="14" t="n">
        <v>17</v>
      </c>
      <c r="D139" s="22" t="n">
        <v>0.797</v>
      </c>
    </row>
    <row r="140">
      <c r="A140" s="14" t="inlineStr">
        <is>
          <t>H003</t>
        </is>
      </c>
      <c r="B140" s="14" t="inlineStr">
        <is>
          <t>Weekend</t>
        </is>
      </c>
      <c r="C140" s="14" t="n">
        <v>18</v>
      </c>
      <c r="D140" s="22" t="n">
        <v>0.897</v>
      </c>
    </row>
    <row r="141">
      <c r="A141" s="14" t="inlineStr">
        <is>
          <t>H003</t>
        </is>
      </c>
      <c r="B141" s="14" t="inlineStr">
        <is>
          <t>Weekend</t>
        </is>
      </c>
      <c r="C141" s="14" t="n">
        <v>19</v>
      </c>
      <c r="D141" s="22" t="n">
        <v>0.9429999999999999</v>
      </c>
    </row>
    <row r="142">
      <c r="A142" s="14" t="inlineStr">
        <is>
          <t>H003</t>
        </is>
      </c>
      <c r="B142" s="14" t="inlineStr">
        <is>
          <t>Weekend</t>
        </is>
      </c>
      <c r="C142" s="14" t="n">
        <v>20</v>
      </c>
      <c r="D142" s="22" t="n">
        <v>0.923</v>
      </c>
    </row>
    <row r="143">
      <c r="A143" s="14" t="inlineStr">
        <is>
          <t>H003</t>
        </is>
      </c>
      <c r="B143" s="14" t="inlineStr">
        <is>
          <t>Weekend</t>
        </is>
      </c>
      <c r="C143" s="14" t="n">
        <v>21</v>
      </c>
      <c r="D143" s="22" t="n">
        <v>0.841</v>
      </c>
    </row>
    <row r="144">
      <c r="A144" s="14" t="inlineStr">
        <is>
          <t>H003</t>
        </is>
      </c>
      <c r="B144" s="14" t="inlineStr">
        <is>
          <t>Weekend</t>
        </is>
      </c>
      <c r="C144" s="14" t="n">
        <v>22</v>
      </c>
      <c r="D144" s="22" t="n">
        <v>0.761</v>
      </c>
    </row>
    <row r="145">
      <c r="A145" s="14" t="inlineStr">
        <is>
          <t>H003</t>
        </is>
      </c>
      <c r="B145" s="14" t="inlineStr">
        <is>
          <t>Weekend</t>
        </is>
      </c>
      <c r="C145" s="14" t="n">
        <v>23</v>
      </c>
      <c r="D145" s="22" t="n">
        <v>0.704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</cols>
  <sheetData>
    <row r="1" ht="22" customHeight="1">
      <c r="A1" s="20" t="inlineStr">
        <is>
          <t>household_id</t>
        </is>
      </c>
      <c r="B1" s="20" t="inlineStr">
        <is>
          <t>year</t>
        </is>
      </c>
      <c r="C1" s="20" t="inlineStr">
        <is>
          <t>total_kwh</t>
        </is>
      </c>
      <c r="D1" s="20" t="inlineStr">
        <is>
          <t>yoy_pct_change</t>
        </is>
      </c>
    </row>
    <row r="2">
      <c r="A2" s="14" t="inlineStr">
        <is>
          <t>H001</t>
        </is>
      </c>
      <c r="B2" s="14" t="n">
        <v>2023</v>
      </c>
      <c r="C2" s="15" t="n">
        <v>9294</v>
      </c>
      <c r="D2" s="23" t="n"/>
    </row>
    <row r="3">
      <c r="A3" s="14" t="inlineStr">
        <is>
          <t>H001</t>
        </is>
      </c>
      <c r="B3" s="14" t="n">
        <v>2024</v>
      </c>
      <c r="C3" s="15" t="n">
        <v>10958</v>
      </c>
      <c r="D3" s="23" t="n">
        <v>17.9</v>
      </c>
    </row>
    <row r="4">
      <c r="A4" s="14" t="inlineStr">
        <is>
          <t>H001</t>
        </is>
      </c>
      <c r="B4" s="14" t="n">
        <v>2025</v>
      </c>
      <c r="C4" s="15" t="n">
        <v>12496</v>
      </c>
      <c r="D4" s="23" t="n">
        <v>14</v>
      </c>
    </row>
    <row r="5">
      <c r="A5" s="14" t="inlineStr">
        <is>
          <t>H002</t>
        </is>
      </c>
      <c r="B5" s="14" t="n">
        <v>2023</v>
      </c>
      <c r="C5" s="15" t="n">
        <v>2818</v>
      </c>
      <c r="D5" s="23" t="n"/>
    </row>
    <row r="6">
      <c r="A6" s="14" t="inlineStr">
        <is>
          <t>H002</t>
        </is>
      </c>
      <c r="B6" s="14" t="n">
        <v>2024</v>
      </c>
      <c r="C6" s="15" t="n">
        <v>2763</v>
      </c>
      <c r="D6" s="23" t="n">
        <v>-2</v>
      </c>
    </row>
    <row r="7">
      <c r="A7" s="14" t="inlineStr">
        <is>
          <t>H002</t>
        </is>
      </c>
      <c r="B7" s="14" t="n">
        <v>2025</v>
      </c>
      <c r="C7" s="15" t="n">
        <v>2656</v>
      </c>
      <c r="D7" s="23" t="n">
        <v>-3.9</v>
      </c>
    </row>
    <row r="8">
      <c r="A8" s="14" t="inlineStr">
        <is>
          <t>H003</t>
        </is>
      </c>
      <c r="B8" s="14" t="n">
        <v>2023</v>
      </c>
      <c r="C8" s="15" t="n">
        <v>6077</v>
      </c>
      <c r="D8" s="23" t="n"/>
    </row>
    <row r="9">
      <c r="A9" s="14" t="inlineStr">
        <is>
          <t>H003</t>
        </is>
      </c>
      <c r="B9" s="14" t="n">
        <v>2024</v>
      </c>
      <c r="C9" s="15" t="n">
        <v>6085</v>
      </c>
      <c r="D9" s="23" t="n">
        <v>0.1</v>
      </c>
    </row>
    <row r="10">
      <c r="A10" s="14" t="inlineStr">
        <is>
          <t>H003</t>
        </is>
      </c>
      <c r="B10" s="14" t="n">
        <v>2025</v>
      </c>
      <c r="C10" s="15" t="n">
        <v>6033</v>
      </c>
      <c r="D10" s="23" t="n">
        <v>-0.9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</cols>
  <sheetData>
    <row r="1" ht="22" customHeight="1">
      <c r="A1" s="20" t="inlineStr">
        <is>
          <t>household_id</t>
        </is>
      </c>
      <c r="B1" s="20" t="inlineStr">
        <is>
          <t>season</t>
        </is>
      </c>
      <c r="C1" s="20" t="inlineStr">
        <is>
          <t>avg_daily_kwh</t>
        </is>
      </c>
    </row>
    <row r="2">
      <c r="A2" s="14" t="inlineStr">
        <is>
          <t>H001</t>
        </is>
      </c>
      <c r="B2" s="14" t="inlineStr">
        <is>
          <t>1 Winter</t>
        </is>
      </c>
      <c r="C2" s="16" t="n">
        <v>42.74</v>
      </c>
    </row>
    <row r="3">
      <c r="A3" s="14" t="inlineStr">
        <is>
          <t>H001</t>
        </is>
      </c>
      <c r="B3" s="14" t="inlineStr">
        <is>
          <t>2 Spring</t>
        </is>
      </c>
      <c r="C3" s="16" t="n">
        <v>27.15</v>
      </c>
    </row>
    <row r="4">
      <c r="A4" s="14" t="inlineStr">
        <is>
          <t>H001</t>
        </is>
      </c>
      <c r="B4" s="14" t="inlineStr">
        <is>
          <t>3 Summer</t>
        </is>
      </c>
      <c r="C4" s="16" t="n">
        <v>21.32</v>
      </c>
    </row>
    <row r="5">
      <c r="A5" s="14" t="inlineStr">
        <is>
          <t>H001</t>
        </is>
      </c>
      <c r="B5" s="14" t="inlineStr">
        <is>
          <t>4 Fall</t>
        </is>
      </c>
      <c r="C5" s="16" t="n">
        <v>28.53</v>
      </c>
    </row>
    <row r="6">
      <c r="A6" s="14" t="inlineStr">
        <is>
          <t>H002</t>
        </is>
      </c>
      <c r="B6" s="14" t="inlineStr">
        <is>
          <t>1 Winter</t>
        </is>
      </c>
      <c r="C6" s="16" t="n">
        <v>10.98</v>
      </c>
    </row>
    <row r="7">
      <c r="A7" s="14" t="inlineStr">
        <is>
          <t>H002</t>
        </is>
      </c>
      <c r="B7" s="14" t="inlineStr">
        <is>
          <t>2 Spring</t>
        </is>
      </c>
      <c r="C7" s="16" t="n">
        <v>7.2</v>
      </c>
    </row>
    <row r="8">
      <c r="A8" s="14" t="inlineStr">
        <is>
          <t>H002</t>
        </is>
      </c>
      <c r="B8" s="14" t="inlineStr">
        <is>
          <t>3 Summer</t>
        </is>
      </c>
      <c r="C8" s="16" t="n">
        <v>5.26</v>
      </c>
    </row>
    <row r="9">
      <c r="A9" s="14" t="inlineStr">
        <is>
          <t>H002</t>
        </is>
      </c>
      <c r="B9" s="14" t="inlineStr">
        <is>
          <t>4 Fall</t>
        </is>
      </c>
      <c r="C9" s="16" t="n">
        <v>6.68</v>
      </c>
    </row>
    <row r="10">
      <c r="A10" s="14" t="inlineStr">
        <is>
          <t>H003</t>
        </is>
      </c>
      <c r="B10" s="14" t="inlineStr">
        <is>
          <t>1 Winter</t>
        </is>
      </c>
      <c r="C10" s="16" t="n">
        <v>25</v>
      </c>
    </row>
    <row r="11">
      <c r="A11" s="14" t="inlineStr">
        <is>
          <t>H003</t>
        </is>
      </c>
      <c r="B11" s="14" t="inlineStr">
        <is>
          <t>2 Spring</t>
        </is>
      </c>
      <c r="C11" s="16" t="n">
        <v>15.82</v>
      </c>
    </row>
    <row r="12">
      <c r="A12" s="14" t="inlineStr">
        <is>
          <t>H003</t>
        </is>
      </c>
      <c r="B12" s="14" t="inlineStr">
        <is>
          <t>3 Summer</t>
        </is>
      </c>
      <c r="C12" s="16" t="n">
        <v>10.92</v>
      </c>
    </row>
    <row r="13">
      <c r="A13" s="14" t="inlineStr">
        <is>
          <t>H003</t>
        </is>
      </c>
      <c r="B13" s="14" t="inlineStr">
        <is>
          <t>4 Fall</t>
        </is>
      </c>
      <c r="C13" s="16" t="n">
        <v>14.79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9" customWidth="1" min="3" max="3"/>
    <col width="29" customWidth="1" min="4" max="4"/>
    <col width="12" customWidth="1" min="5" max="5"/>
    <col width="17" customWidth="1" min="6" max="6"/>
  </cols>
  <sheetData>
    <row r="1" ht="22" customHeight="1">
      <c r="A1" s="20" t="inlineStr">
        <is>
          <t>household_id</t>
        </is>
      </c>
      <c r="B1" s="20" t="inlineStr">
        <is>
          <t>base_kwh_per_day</t>
        </is>
      </c>
      <c r="C1" s="20" t="inlineStr">
        <is>
          <t>kwh_per_heating_degree_day</t>
        </is>
      </c>
      <c r="D1" s="20" t="inlineStr">
        <is>
          <t>kwh_per_cooling_degree_day</t>
        </is>
      </c>
      <c r="E1" s="20" t="inlineStr">
        <is>
          <t>r_squared</t>
        </is>
      </c>
      <c r="F1" s="20" t="inlineStr">
        <is>
          <t>corr_with_temp</t>
        </is>
      </c>
    </row>
    <row r="2">
      <c r="A2" s="14" t="inlineStr">
        <is>
          <t>H001</t>
        </is>
      </c>
      <c r="B2" s="22" t="n">
        <v>20.307</v>
      </c>
      <c r="C2" s="22" t="n">
        <v>1.206</v>
      </c>
      <c r="D2" s="22" t="n">
        <v>3.136</v>
      </c>
      <c r="E2" s="22" t="n">
        <v>0.804</v>
      </c>
      <c r="F2" s="22" t="n">
        <v>-0.855</v>
      </c>
    </row>
    <row r="3">
      <c r="A3" s="14" t="inlineStr">
        <is>
          <t>H002</t>
        </is>
      </c>
      <c r="B3" s="22" t="n">
        <v>4.963</v>
      </c>
      <c r="C3" s="22" t="n">
        <v>0.324</v>
      </c>
      <c r="D3" s="22" t="n">
        <v>0.629</v>
      </c>
      <c r="E3" s="22" t="n">
        <v>0.979</v>
      </c>
      <c r="F3" s="22" t="n">
        <v>-0.946</v>
      </c>
    </row>
    <row r="4">
      <c r="A4" s="14" t="inlineStr">
        <is>
          <t>H003</t>
        </is>
      </c>
      <c r="B4" s="22" t="n">
        <v>10.396</v>
      </c>
      <c r="C4" s="22" t="n">
        <v>0.789</v>
      </c>
      <c r="D4" s="22" t="n">
        <v>1.236</v>
      </c>
      <c r="E4" s="22" t="n">
        <v>0.993</v>
      </c>
      <c r="F4" s="22" t="n">
        <v>-0.957</v>
      </c>
    </row>
    <row r="6">
      <c r="A6" s="24" t="inlineStr">
        <is>
          <t>Model: daily kWh = base + a*HDD + b*CDD (HDD base 15C, CDD base 22C), fit by least squares in Pandas/NumPy.</t>
        </is>
      </c>
    </row>
    <row r="9">
      <c r="A9" s="20" t="inlineStr">
        <is>
          <t>household_id</t>
        </is>
      </c>
      <c r="B9" s="20" t="inlineStr">
        <is>
          <t>year</t>
        </is>
      </c>
      <c r="C9" s="20" t="inlineStr">
        <is>
          <t>weather_adjusted_daily_kwh</t>
        </is>
      </c>
    </row>
    <row r="10">
      <c r="A10" s="14" t="inlineStr">
        <is>
          <t>H001</t>
        </is>
      </c>
      <c r="B10" s="14" t="n">
        <v>2023</v>
      </c>
      <c r="C10" s="16" t="n">
        <v>15.86</v>
      </c>
    </row>
    <row r="11">
      <c r="A11" s="14" t="inlineStr">
        <is>
          <t>H001</t>
        </is>
      </c>
      <c r="B11" s="14" t="n">
        <v>2024</v>
      </c>
      <c r="C11" s="16" t="n">
        <v>20.3</v>
      </c>
    </row>
    <row r="12">
      <c r="A12" s="14" t="inlineStr">
        <is>
          <t>H001</t>
        </is>
      </c>
      <c r="B12" s="14" t="n">
        <v>2025</v>
      </c>
      <c r="C12" s="16" t="n">
        <v>24.76</v>
      </c>
    </row>
    <row r="13">
      <c r="A13" s="14" t="inlineStr">
        <is>
          <t>H002</t>
        </is>
      </c>
      <c r="B13" s="14" t="n">
        <v>2023</v>
      </c>
      <c r="C13" s="16" t="n">
        <v>5.18</v>
      </c>
    </row>
    <row r="14">
      <c r="A14" s="14" t="inlineStr">
        <is>
          <t>H002</t>
        </is>
      </c>
      <c r="B14" s="14" t="n">
        <v>2024</v>
      </c>
      <c r="C14" s="16" t="n">
        <v>4.97</v>
      </c>
    </row>
    <row r="15">
      <c r="A15" s="14" t="inlineStr">
        <is>
          <t>H002</t>
        </is>
      </c>
      <c r="B15" s="14" t="n">
        <v>2025</v>
      </c>
      <c r="C15" s="16" t="n">
        <v>4.74</v>
      </c>
    </row>
    <row r="16">
      <c r="A16" s="14" t="inlineStr">
        <is>
          <t>H003</t>
        </is>
      </c>
      <c r="B16" s="14" t="n">
        <v>2023</v>
      </c>
      <c r="C16" s="16" t="n">
        <v>10.43</v>
      </c>
    </row>
    <row r="17">
      <c r="A17" s="14" t="inlineStr">
        <is>
          <t>H003</t>
        </is>
      </c>
      <c r="B17" s="14" t="n">
        <v>2024</v>
      </c>
      <c r="C17" s="16" t="n">
        <v>10.38</v>
      </c>
    </row>
    <row r="18">
      <c r="A18" s="14" t="inlineStr">
        <is>
          <t>H003</t>
        </is>
      </c>
      <c r="B18" s="14" t="n">
        <v>2025</v>
      </c>
      <c r="C18" s="16" t="n">
        <v>10.38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 ht="22" customHeight="1">
      <c r="A1" s="20" t="inlineStr">
        <is>
          <t>check</t>
        </is>
      </c>
      <c r="B1" s="20" t="inlineStr">
        <is>
          <t>count</t>
        </is>
      </c>
    </row>
    <row r="2">
      <c r="A2" s="14" t="inlineStr">
        <is>
          <t>Total rows (raw)</t>
        </is>
      </c>
      <c r="B2" s="15" t="n">
        <v>79062</v>
      </c>
    </row>
    <row r="3">
      <c r="A3" s="14" t="inlineStr">
        <is>
          <t>Duplicate rows</t>
        </is>
      </c>
      <c r="B3" s="15" t="n">
        <v>150</v>
      </c>
    </row>
    <row r="4">
      <c r="A4" s="14" t="inlineStr">
        <is>
          <t>Missing kWh</t>
        </is>
      </c>
      <c r="B4" s="15" t="n">
        <v>473</v>
      </c>
    </row>
    <row r="5">
      <c r="A5" s="14" t="inlineStr">
        <is>
          <t>Negative kWh</t>
        </is>
      </c>
      <c r="B5" s="15" t="n">
        <v>39</v>
      </c>
    </row>
    <row r="6">
      <c r="A6" s="14" t="inlineStr">
        <is>
          <t>Implausible spikes (&gt;15 kWh/hr)</t>
        </is>
      </c>
      <c r="B6" s="15" t="n">
        <v>25</v>
      </c>
    </row>
    <row r="7">
      <c r="A7" s="14" t="inlineStr">
        <is>
          <t>Missing temperature (kept; not needed for kWh)</t>
        </is>
      </c>
      <c r="B7" s="15" t="n">
        <v>300</v>
      </c>
    </row>
    <row r="8">
      <c r="A8" s="14" t="inlineStr">
        <is>
          <t>Rows in clean table</t>
        </is>
      </c>
      <c r="B8" s="15" t="n">
        <v>78375</v>
      </c>
    </row>
    <row r="9">
      <c r="A9" s="14" t="inlineStr">
        <is>
          <t>Rows removed</t>
        </is>
      </c>
      <c r="B9" s="15" t="n">
        <v>687</v>
      </c>
    </row>
    <row r="11">
      <c r="A11" s="24" t="inlineStr">
        <is>
          <t>Cleaning rules (SQL): de-duplicate on household+timestamp; drop NULL, negative and &gt;15 kWh/hr readings.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2026-10-30T01:14:29Z</dcterms:created>
  <dcterms:modified xsi:type="dcterms:W3CDTF">2026-10-30T01:14:29Z</dcterms:modified>
</cp:coreProperties>
</file>